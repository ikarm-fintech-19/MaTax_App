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7520" windowHeight="11700" activeTab="4"/>
  </bookViews>
  <sheets>
    <sheet name="IBS-IRG" sheetId="1" r:id="rId1"/>
    <sheet name="TLS" sheetId="2" r:id="rId2"/>
    <sheet name="TIMBRE" sheetId="4" r:id="rId3"/>
    <sheet name="TVA" sheetId="3" r:id="rId4"/>
    <sheet name="compta-fisco" sheetId="5" r:id="rId5"/>
  </sheets>
  <calcPr calcId="124519"/>
</workbook>
</file>

<file path=xl/calcChain.xml><?xml version="1.0" encoding="utf-8"?>
<calcChain xmlns="http://schemas.openxmlformats.org/spreadsheetml/2006/main">
  <c r="BX53" i="1"/>
  <c r="BX52"/>
  <c r="BX51"/>
  <c r="AB35" i="4"/>
  <c r="AB29"/>
  <c r="AB28"/>
  <c r="CQ46" i="1"/>
  <c r="CQ40"/>
  <c r="AB27" i="4"/>
  <c r="BX34" i="1"/>
  <c r="CQ34"/>
  <c r="BK34" i="2"/>
  <c r="AM34"/>
  <c r="CL29"/>
  <c r="CL23"/>
  <c r="CL7"/>
  <c r="CL5"/>
  <c r="CL34" s="1"/>
  <c r="AB32" i="4" s="1"/>
  <c r="BX56" i="1"/>
  <c r="CQ56" s="1"/>
  <c r="AB31" i="4" s="1"/>
  <c r="BW46" i="1"/>
  <c r="BX40"/>
  <c r="BP8" i="4"/>
  <c r="BP7"/>
  <c r="BP6"/>
  <c r="BS21"/>
  <c r="AB34" s="1"/>
  <c r="BP9"/>
  <c r="AB33" s="1"/>
  <c r="AO44" i="3"/>
  <c r="CD41" s="1"/>
  <c r="CH17"/>
  <c r="CH18"/>
  <c r="CH19"/>
  <c r="CH20"/>
  <c r="CH21"/>
  <c r="CH22"/>
  <c r="CH23"/>
  <c r="CH24"/>
  <c r="CH25"/>
  <c r="CH26"/>
  <c r="CH27"/>
  <c r="CH28"/>
  <c r="CH29"/>
  <c r="CH30"/>
  <c r="CH16"/>
  <c r="CH11"/>
  <c r="CH12"/>
  <c r="CH13"/>
  <c r="CH14"/>
  <c r="CH15"/>
  <c r="CH10"/>
  <c r="AB39" i="4" l="1"/>
  <c r="CH31" i="3"/>
  <c r="CD35" s="1"/>
  <c r="CD40" s="1"/>
  <c r="CD44"/>
  <c r="CD42"/>
</calcChain>
</file>

<file path=xl/sharedStrings.xml><?xml version="1.0" encoding="utf-8"?>
<sst xmlns="http://schemas.openxmlformats.org/spreadsheetml/2006/main" count="374" uniqueCount="311">
  <si>
    <t>الشهر</t>
  </si>
  <si>
    <t>الفصل</t>
  </si>
  <si>
    <t>السنة</t>
  </si>
  <si>
    <t>المديرية العامة للضرائب</t>
  </si>
  <si>
    <t>DIRECTION GENELALE DES IMPOTS</t>
  </si>
  <si>
    <t>مديرية</t>
  </si>
  <si>
    <t>DIRECTION</t>
  </si>
  <si>
    <t>مصلحة الضرائب لـ</t>
  </si>
  <si>
    <t>STRUCTURE DES IMPOTS DE</t>
  </si>
  <si>
    <t>قباضة الضرائب لـ</t>
  </si>
  <si>
    <t>RECETTE DES IMPOTS DE</t>
  </si>
  <si>
    <t>COMMUNE DE</t>
  </si>
  <si>
    <t>بلدية</t>
  </si>
  <si>
    <t>NIN :</t>
  </si>
  <si>
    <t>NIF :</t>
  </si>
  <si>
    <t>F</t>
  </si>
  <si>
    <t>J</t>
  </si>
  <si>
    <t>Article d'imposition</t>
  </si>
  <si>
    <t>للتذكير إجباريا</t>
  </si>
  <si>
    <t>A RAPPELER</t>
  </si>
  <si>
    <t>OBLIGATOIREMENT</t>
  </si>
  <si>
    <t>رمز النشاط</t>
  </si>
  <si>
    <t>CODE ACTIVITE</t>
  </si>
  <si>
    <t>série G n° 50</t>
  </si>
  <si>
    <t xml:space="preserve">   Important :  La  déclaration  doit </t>
  </si>
  <si>
    <t xml:space="preserve">   être  déposée   à  la   recette  des</t>
  </si>
  <si>
    <r>
      <rPr>
        <b/>
        <sz val="8"/>
        <color theme="1"/>
        <rFont val="Calibri"/>
        <family val="2"/>
        <scheme val="minor"/>
      </rPr>
      <t xml:space="preserve">   </t>
    </r>
    <r>
      <rPr>
        <b/>
        <u/>
        <sz val="8"/>
        <color theme="1"/>
        <rFont val="Calibri"/>
        <family val="2"/>
        <scheme val="minor"/>
      </rPr>
      <t>Jours du mois.</t>
    </r>
  </si>
  <si>
    <r>
      <t xml:space="preserve">   Impôts  dans  les  </t>
    </r>
    <r>
      <rPr>
        <b/>
        <u/>
        <sz val="8"/>
        <color theme="1"/>
        <rFont val="Calibri"/>
        <family val="2"/>
        <scheme val="minor"/>
      </rPr>
      <t>vingt  premiers</t>
    </r>
  </si>
  <si>
    <t>هام:هذا التصريح يجب أن يوضع في قباضة</t>
  </si>
  <si>
    <t>الضرائب  خلال  العشرين  يوم  الأولى من</t>
  </si>
  <si>
    <t>الشهر.</t>
  </si>
  <si>
    <t>Série G n°50 (2025)</t>
  </si>
  <si>
    <t>الضرائب و الرسوم المحصلة فورا أو عن طريق الاقتطاع من المصدر</t>
  </si>
  <si>
    <t>تصريح يقوم مقام حافظة إشعار بالتسديد</t>
  </si>
  <si>
    <t xml:space="preserve">IMPOTS ET TAXES PERCUS AU COMPTANT OU PAR VOIE </t>
  </si>
  <si>
    <t>DE RETENUE A LA SOURCE</t>
  </si>
  <si>
    <t>DECLARATION TENANT LIEU DE BORDEREAU- AVIS DEVERSEMENT</t>
  </si>
  <si>
    <t>السيد(ة) :</t>
  </si>
  <si>
    <t>M :</t>
  </si>
  <si>
    <t xml:space="preserve">  (social raison - nom et prénom)           (الاسم - اللقب - اسم الشركة)</t>
  </si>
  <si>
    <t>Adresse :</t>
  </si>
  <si>
    <t>Profession/Activité</t>
  </si>
  <si>
    <t>النشاط أو المهنة:</t>
  </si>
  <si>
    <t>IBS/ICB : Acompte / solde de liquidation</t>
  </si>
  <si>
    <t>ض.أ.ش/ ض.ت.أ.ش : التسبيقات على الحساب / رصيد التصفية</t>
  </si>
  <si>
    <t>Code</t>
  </si>
  <si>
    <t>Détermination de l'acompte provisionnel/solde de liquidation تحديد التسبيق على الحساب/رصيد التصفية</t>
  </si>
  <si>
    <r>
      <rPr>
        <sz val="8"/>
        <color theme="1"/>
        <rFont val="Calibri"/>
        <family val="2"/>
        <scheme val="minor"/>
      </rPr>
      <t>Acompte/solde de liquidation IBS/ICBS</t>
    </r>
    <r>
      <rPr>
        <sz val="8"/>
        <color theme="1"/>
        <rFont val="Cambria"/>
        <family val="1"/>
        <scheme val="major"/>
      </rPr>
      <t xml:space="preserve"> رصيد التصفية/التسبيقات على الحساب</t>
    </r>
  </si>
  <si>
    <r>
      <rPr>
        <sz val="8"/>
        <color theme="1"/>
        <rFont val="Calibri"/>
        <family val="2"/>
        <scheme val="minor"/>
      </rPr>
      <t>Détermination de l'acompte provisionnel/solde de liquidation</t>
    </r>
    <r>
      <rPr>
        <sz val="8"/>
        <color theme="1"/>
        <rFont val="Cambria"/>
        <family val="1"/>
        <scheme val="major"/>
      </rPr>
      <t xml:space="preserve"> تحديد التسبيق على الحساب/رصيد التصفية</t>
    </r>
  </si>
  <si>
    <t>Montant à pauer (DA)  المبلغ المستحق(دج</t>
  </si>
  <si>
    <t>E1M10</t>
  </si>
  <si>
    <t>E1L20</t>
  </si>
  <si>
    <t>E1L30</t>
  </si>
  <si>
    <t>E1L40</t>
  </si>
  <si>
    <t>E1L60</t>
  </si>
  <si>
    <t>E1L80</t>
  </si>
  <si>
    <t xml:space="preserve"> Acompte provisionnel IBS</t>
  </si>
  <si>
    <t xml:space="preserve"> solde de liquidation IBS</t>
  </si>
  <si>
    <t xml:space="preserve"> Acompte provisionnel ICBS</t>
  </si>
  <si>
    <t xml:space="preserve"> solde de liquidation ICBS</t>
  </si>
  <si>
    <t>IBS : Retenues à la source</t>
  </si>
  <si>
    <t>ض.أ.ش: الإقتطاعات من المصدر</t>
  </si>
  <si>
    <t>E1M30</t>
  </si>
  <si>
    <t>E1M40</t>
  </si>
  <si>
    <t>base imposable الأساس الضريبي</t>
  </si>
  <si>
    <t>المعدل    Taux</t>
  </si>
  <si>
    <t>Barème</t>
  </si>
  <si>
    <t>%</t>
  </si>
  <si>
    <t>TOTAL</t>
  </si>
  <si>
    <t xml:space="preserve">TOTAL  </t>
  </si>
  <si>
    <r>
      <t xml:space="preserve"> catégories de revenus soumis à la source IBS أ</t>
    </r>
    <r>
      <rPr>
        <sz val="9"/>
        <color theme="1"/>
        <rFont val="Cambria"/>
        <family val="1"/>
        <scheme val="major"/>
      </rPr>
      <t>صناف المداخيل الخاضعة للاقتطاع من المصدر ض.أ.ش</t>
    </r>
  </si>
  <si>
    <t xml:space="preserve">  IBS/Revenus des entreprises étrangères non installées en Algérie (preestations de services) (1)</t>
  </si>
  <si>
    <t xml:space="preserve"> IBS/Autres retenues à la source</t>
  </si>
  <si>
    <t xml:space="preserve">  (1)joindre le relevé detaillé des retenues à la source par entreprise</t>
  </si>
  <si>
    <t>IRG (BIC/BNC/RA): Acompte / Solde de liquidation</t>
  </si>
  <si>
    <t>ض.د.ا (ا.ص.ت/ا.غ.ت/م.ف): التسبيقات على الحساب / رصيد التصفية</t>
  </si>
  <si>
    <t>Acompte/solde de liquidation  رصيد التصفية/التسبيقات على الحساب</t>
  </si>
  <si>
    <t xml:space="preserve"> Acompte provisionnel</t>
  </si>
  <si>
    <t xml:space="preserve"> solde de liquidation</t>
  </si>
  <si>
    <t xml:space="preserve">TOTAL </t>
  </si>
  <si>
    <t>IRG/ Traitments et salaires et autres retenues à la source</t>
  </si>
  <si>
    <t>ض.د.ا / الأجور و الإقتطاعات الأخرى من المصدر</t>
  </si>
  <si>
    <r>
      <t xml:space="preserve">  </t>
    </r>
    <r>
      <rPr>
        <sz val="8"/>
        <color theme="1"/>
        <rFont val="Calibri"/>
        <family val="2"/>
        <scheme val="minor"/>
      </rPr>
      <t>Catégories de revenus soumis à une retenue à la source IRG</t>
    </r>
    <r>
      <rPr>
        <sz val="8"/>
        <color theme="1"/>
        <rFont val="Cambria"/>
        <family val="1"/>
        <scheme val="major"/>
      </rPr>
      <t xml:space="preserve"> أصناف المداخيل الخاضعة للاقتطاع من المصدر</t>
    </r>
  </si>
  <si>
    <t xml:space="preserve">  IRG / Traitements salaires pension et rentes viagères</t>
  </si>
  <si>
    <t xml:space="preserve">  IRG / Revenus des créances dépôts et cautionnements</t>
  </si>
  <si>
    <t xml:space="preserve">  IRG / Bénéficer distribués par les sociétés de capitaux libératoire</t>
  </si>
  <si>
    <t xml:space="preserve">  IRG / Revenus des entreprises étrangères non installées en algérie (prestation de services)(1)</t>
  </si>
  <si>
    <t xml:space="preserve">  IRG / Autres retenus à la source</t>
  </si>
  <si>
    <t xml:space="preserve">  IRG / produits des titres anonymes ou au-porteur</t>
  </si>
  <si>
    <t xml:space="preserve">  (1)      Joindre relevé détaillé des retenus à la source par entreprise</t>
  </si>
  <si>
    <t>Taxe Locale de Solidarité (T.L.S)</t>
  </si>
  <si>
    <t>I .  Régime du Paiement mensuel :</t>
  </si>
  <si>
    <t>Taux</t>
  </si>
  <si>
    <t>المعدل</t>
  </si>
  <si>
    <t>Montant à payer (en DA)</t>
  </si>
  <si>
    <t>المبلغ المستحق (دج)</t>
  </si>
  <si>
    <t xml:space="preserve"> 1)  Activité de transport par canalisation des</t>
  </si>
  <si>
    <t xml:space="preserve"> 2)  Activité miniéres :</t>
  </si>
  <si>
    <t xml:space="preserve">      Opérations bénéficiant de la réféction de 30%</t>
  </si>
  <si>
    <t xml:space="preserve">      Opérations sansa réféction</t>
  </si>
  <si>
    <t xml:space="preserve">    Opérations exonérées ou non imposables</t>
  </si>
  <si>
    <t xml:space="preserve">       hydrocarbures</t>
  </si>
  <si>
    <t xml:space="preserve">      -      AAPI</t>
  </si>
  <si>
    <t xml:space="preserve">      -      ANDI</t>
  </si>
  <si>
    <t xml:space="preserve">      -      ANADE</t>
  </si>
  <si>
    <t xml:space="preserve">      -      ANGEM</t>
  </si>
  <si>
    <t xml:space="preserve">      -      CNAC</t>
  </si>
  <si>
    <t xml:space="preserve">      -      Opérations intra groupe</t>
  </si>
  <si>
    <t xml:space="preserve">      -      Opérations inter-unités</t>
  </si>
  <si>
    <t xml:space="preserve">      -      Autres …(à préciser)</t>
  </si>
  <si>
    <t xml:space="preserve">                                Opération pour le régime des acomptes provisionnels (1)</t>
  </si>
  <si>
    <t xml:space="preserve">                 II.     Régime des acomptes provisionel :</t>
  </si>
  <si>
    <t>1)   Activité de transpor par canalisation des</t>
  </si>
  <si>
    <t>2)   activités minières :</t>
  </si>
  <si>
    <t xml:space="preserve">     période de référence (a préciser) :</t>
  </si>
  <si>
    <t xml:space="preserve">    période de référence (a préciser) :</t>
  </si>
  <si>
    <t xml:space="preserve">    Ou Date de notification (à préciser) :</t>
  </si>
  <si>
    <t xml:space="preserve">     Ou date de  notification (à préciser) :</t>
  </si>
  <si>
    <r>
      <t>Opérations imposables   ا</t>
    </r>
    <r>
      <rPr>
        <sz val="9"/>
        <color theme="1"/>
        <rFont val="Cambria"/>
        <family val="1"/>
        <scheme val="major"/>
      </rPr>
      <t>لعمليات الخاضعة للضريبة</t>
    </r>
  </si>
  <si>
    <r>
      <rPr>
        <sz val="9"/>
        <color theme="1"/>
        <rFont val="Cambria"/>
        <family val="1"/>
        <scheme val="major"/>
      </rPr>
      <t>رقم الأعمال</t>
    </r>
    <r>
      <rPr>
        <sz val="9"/>
        <color theme="1"/>
        <rFont val="Calibri"/>
        <family val="2"/>
        <scheme val="minor"/>
      </rPr>
      <t xml:space="preserve">                     Chiffre d'affaires  </t>
    </r>
  </si>
  <si>
    <r>
      <rPr>
        <sz val="9"/>
        <color theme="1"/>
        <rFont val="Cambria"/>
        <family val="1"/>
        <scheme val="major"/>
      </rPr>
      <t>أساس فرض الضريبة</t>
    </r>
    <r>
      <rPr>
        <sz val="9"/>
        <color theme="1"/>
        <rFont val="Calibri"/>
        <family val="2"/>
        <scheme val="minor"/>
      </rPr>
      <t xml:space="preserve">                Base imposable</t>
    </r>
  </si>
  <si>
    <r>
      <t>Opérations imposables         ا</t>
    </r>
    <r>
      <rPr>
        <sz val="9"/>
        <color theme="1"/>
        <rFont val="Cambria"/>
        <family val="1"/>
        <scheme val="major"/>
      </rPr>
      <t>لعمليات الخاضعة للضريبة</t>
    </r>
  </si>
  <si>
    <r>
      <rPr>
        <sz val="9"/>
        <color theme="1"/>
        <rFont val="Cambria"/>
        <family val="1"/>
        <scheme val="major"/>
      </rPr>
      <t>رقم الأعمال</t>
    </r>
    <r>
      <rPr>
        <sz val="9"/>
        <color theme="1"/>
        <rFont val="Calibri"/>
        <family val="2"/>
        <scheme val="minor"/>
      </rPr>
      <t xml:space="preserve">                     Chiffre d'affaires</t>
    </r>
  </si>
  <si>
    <r>
      <t xml:space="preserve">Montant à payer (en DA)  </t>
    </r>
    <r>
      <rPr>
        <sz val="8"/>
        <color theme="1"/>
        <rFont val="Cambria"/>
        <family val="1"/>
        <scheme val="major"/>
      </rPr>
      <t xml:space="preserve"> المبلغ المستحق (دج</t>
    </r>
  </si>
  <si>
    <t>الـــرســــــم المحلي للتضامن</t>
  </si>
  <si>
    <r>
      <t xml:space="preserve">        </t>
    </r>
    <r>
      <rPr>
        <sz val="8"/>
        <color theme="1"/>
        <rFont val="Calibri"/>
        <family val="2"/>
        <scheme val="minor"/>
      </rPr>
      <t>●</t>
    </r>
    <r>
      <rPr>
        <sz val="9"/>
        <color theme="1"/>
        <rFont val="Calibri"/>
        <family val="2"/>
        <scheme val="minor"/>
      </rPr>
      <t xml:space="preserve">  Montant de l'acompte</t>
    </r>
  </si>
  <si>
    <r>
      <t xml:space="preserve">        </t>
    </r>
    <r>
      <rPr>
        <sz val="8"/>
        <color theme="1"/>
        <rFont val="Calibri"/>
        <family val="2"/>
        <scheme val="minor"/>
      </rPr>
      <t>●</t>
    </r>
    <r>
      <rPr>
        <sz val="9"/>
        <color theme="1"/>
        <rFont val="Calibri"/>
        <family val="2"/>
        <scheme val="minor"/>
      </rPr>
      <t xml:space="preserve">   Montant du solde de liquidation</t>
    </r>
  </si>
  <si>
    <r>
      <rPr>
        <sz val="8"/>
        <color theme="1"/>
        <rFont val="Cambria"/>
        <family val="1"/>
        <scheme val="major"/>
      </rPr>
      <t>أساس حساب التسبيقات</t>
    </r>
    <r>
      <rPr>
        <sz val="5"/>
        <color theme="1"/>
        <rFont val="Cambria"/>
        <family val="1"/>
        <scheme val="major"/>
      </rPr>
      <t>(2)</t>
    </r>
    <r>
      <rPr>
        <sz val="8"/>
        <color theme="1"/>
        <rFont val="Calibri"/>
        <family val="2"/>
        <scheme val="minor"/>
      </rPr>
      <t xml:space="preserve"> Base de calcul des acomptes</t>
    </r>
  </si>
  <si>
    <r>
      <rPr>
        <sz val="5"/>
        <color theme="1"/>
        <rFont val="Calibri"/>
        <family val="2"/>
        <scheme val="minor"/>
      </rPr>
      <t>(1)</t>
    </r>
    <r>
      <rPr>
        <sz val="7"/>
        <color theme="1"/>
        <rFont val="Calibri"/>
        <family val="2"/>
        <scheme val="minor"/>
      </rPr>
      <t xml:space="preserve"> Cocher la case en cas d'option.</t>
    </r>
  </si>
  <si>
    <r>
      <rPr>
        <sz val="5"/>
        <color theme="1"/>
        <rFont val="Calibri"/>
        <family val="2"/>
        <scheme val="minor"/>
      </rPr>
      <t>(2)</t>
    </r>
    <r>
      <rPr>
        <sz val="7"/>
        <color theme="1"/>
        <rFont val="Calibri"/>
        <family val="2"/>
        <scheme val="minor"/>
      </rPr>
      <t xml:space="preserve"> La base de calcul des acomptes provisionnels mensuel en matière de la TLS est déterminée suivant les dispositions de l'article 364 octies du CIDTA</t>
    </r>
  </si>
  <si>
    <t xml:space="preserve">  Actes Médicaux</t>
  </si>
  <si>
    <t xml:space="preserve">  Commissionnaire et cortiers</t>
  </si>
  <si>
    <t xml:space="preserve">  Fournitured'énergie</t>
  </si>
  <si>
    <t xml:space="preserve">  Professions Libérales</t>
  </si>
  <si>
    <t xml:space="preserve">  Opérations de banques et assurances</t>
  </si>
  <si>
    <t xml:space="preserve">  Prestations de téléphone et télex</t>
  </si>
  <si>
    <t xml:space="preserve">  Autres prestations de services</t>
  </si>
  <si>
    <t xml:space="preserve">  Débits de boissons</t>
  </si>
  <si>
    <t xml:space="preserve">  Tabacs et allumettes</t>
  </si>
  <si>
    <t xml:space="preserve">  Consommations sur place</t>
  </si>
  <si>
    <t xml:space="preserve">  Autres</t>
  </si>
  <si>
    <t>الرسم على القيمة المضافة</t>
  </si>
  <si>
    <t>TAXE SUR LA VALEUR AJOUTEE</t>
  </si>
  <si>
    <t>Les chiffres d'affaires et les recettes</t>
  </si>
  <si>
    <t>porfessionnelles sont inscrits en dinars le dernier</t>
  </si>
  <si>
    <t>DA = 325.620 DA)</t>
  </si>
  <si>
    <t xml:space="preserve"> chiffre étant ramené au zéro ( Exemple 325.626</t>
  </si>
  <si>
    <t xml:space="preserve"> تسجيل أرقام الاعمال و الايرادات المهنية بالدينار </t>
  </si>
  <si>
    <t xml:space="preserve">           و العدد الأخير يراجع الى الصفر </t>
  </si>
  <si>
    <t xml:space="preserve">( مثال 325,620 = 325,626دج )       </t>
  </si>
  <si>
    <r>
      <t>A/ Chiffres d'affaires imposables</t>
    </r>
    <r>
      <rPr>
        <b/>
        <sz val="11"/>
        <color theme="1"/>
        <rFont val="Calibri"/>
        <family val="2"/>
        <scheme val="minor"/>
      </rPr>
      <t xml:space="preserve">   </t>
    </r>
    <r>
      <rPr>
        <b/>
        <sz val="11"/>
        <color theme="1"/>
        <rFont val="Cambria"/>
        <family val="1"/>
        <scheme val="major"/>
      </rPr>
      <t xml:space="preserve">   </t>
    </r>
    <r>
      <rPr>
        <b/>
        <u/>
        <sz val="11"/>
        <color theme="1"/>
        <rFont val="Cambria"/>
        <family val="1"/>
        <scheme val="major"/>
      </rPr>
      <t>أ ـ رقم الأعمال الخاضع الضريبة</t>
    </r>
  </si>
  <si>
    <t>Opérations assujetties à la TVA   العمليات الخاضعة الرسم على القيمة المضافة</t>
  </si>
  <si>
    <t>مجموع رقم الاعمال</t>
  </si>
  <si>
    <t>Chiffre d'affaires Total</t>
  </si>
  <si>
    <t>رقم الاعمال المعفى</t>
  </si>
  <si>
    <t>Chiffre d'affaires Exonéré</t>
  </si>
  <si>
    <t>رقم الاعمال الخاضع للضريبة</t>
  </si>
  <si>
    <t>Chiffre d'affaires</t>
  </si>
  <si>
    <t>Imposable</t>
  </si>
  <si>
    <t>المبلغ المدفوع بـ (دج)</t>
  </si>
  <si>
    <t>Montant des droits (en DA)</t>
  </si>
  <si>
    <t>"</t>
  </si>
  <si>
    <t>الرمز</t>
  </si>
  <si>
    <t>E3B11</t>
  </si>
  <si>
    <t>E3B12</t>
  </si>
  <si>
    <t>E3B13</t>
  </si>
  <si>
    <t>E3B14</t>
  </si>
  <si>
    <t>E3B15</t>
  </si>
  <si>
    <t>E3B16</t>
  </si>
  <si>
    <t>E3B21</t>
  </si>
  <si>
    <t>E3B22</t>
  </si>
  <si>
    <t>E3B23</t>
  </si>
  <si>
    <t>E3B24</t>
  </si>
  <si>
    <t>E3B25</t>
  </si>
  <si>
    <t>E3B26</t>
  </si>
  <si>
    <t>E3B28</t>
  </si>
  <si>
    <t>E3B31</t>
  </si>
  <si>
    <t>E3B32</t>
  </si>
  <si>
    <t>E3B33</t>
  </si>
  <si>
    <t>E3B34</t>
  </si>
  <si>
    <t>E3B35</t>
  </si>
  <si>
    <t>E3B36</t>
  </si>
  <si>
    <t>E3B37</t>
  </si>
  <si>
    <t xml:space="preserve">  Biens produits et denrées visées par l'article  23 du C.TCA</t>
  </si>
  <si>
    <t xml:space="preserve">  Prestations de services visées par l'article  23 du C.TCA</t>
  </si>
  <si>
    <t xml:space="preserve">  Opérations immobilières visées par l'article  23 du C.TCA</t>
  </si>
  <si>
    <t xml:space="preserve">  Production : biens, produits, denrées visées par l'article  23 du C.TCA</t>
  </si>
  <si>
    <t xml:space="preserve">  Revente en l'état : biens, produits, denrées visées par l'article  23 du C.TCA</t>
  </si>
  <si>
    <t xml:space="preserve">  Travaux immobiliers autres que ceux soumis au taux de 9%</t>
  </si>
  <si>
    <t xml:space="preserve">  Production biens et denrées  visées par l'article  23 du C.TCA</t>
  </si>
  <si>
    <t xml:space="preserve">  Reventes en l'état biens produits et denrées visées par l'article  23 du C.TCA</t>
  </si>
  <si>
    <t xml:space="preserve">  Spectacles, jeux et divertissement  autres que ceux de l'art 21 du C TCA</t>
  </si>
  <si>
    <t xml:space="preserve">  Autres prestations de services visées par l'article  23 du C.TCA</t>
  </si>
  <si>
    <t>TOTAL GENERAL DES CHIFFRES D'AFFAIRES</t>
  </si>
  <si>
    <t xml:space="preserve">  B/ Déductions à opérer</t>
  </si>
  <si>
    <t>ب - الحسومات المجراة:</t>
  </si>
  <si>
    <t>Montant</t>
  </si>
  <si>
    <t>Nature des déductions</t>
  </si>
  <si>
    <t>C/ TVA à Payer</t>
  </si>
  <si>
    <t>ت - ر. ق.م الواجب دفعه</t>
  </si>
  <si>
    <t xml:space="preserve"> TVA / achats de matières et services (art.29 C TCA)</t>
  </si>
  <si>
    <t xml:space="preserve"> TVA / achats biens amortissables (art.38 C TCA)</t>
  </si>
  <si>
    <t xml:space="preserve"> Régularisation prorata déduction (art.40 C TCA)</t>
  </si>
  <si>
    <t xml:space="preserve"> Autres déductions (Notification de précomptes, etc.)</t>
  </si>
  <si>
    <t xml:space="preserve"> مجموع الحسومات المجزاة</t>
  </si>
  <si>
    <t xml:space="preserve">Total des déductions à opérer (B) </t>
  </si>
  <si>
    <t xml:space="preserve"> Précompte antérieur (mois précédent)</t>
  </si>
  <si>
    <t xml:space="preserve"> TCA).TVA à récupérer surfactures annulées ou impayées (art. 18 C</t>
  </si>
  <si>
    <t xml:space="preserve"> TCA) …</t>
  </si>
  <si>
    <t xml:space="preserve">    NB: Joindre un etat détallé des fournisseurs conformément à l'article</t>
  </si>
  <si>
    <t xml:space="preserve">     29 du C.TCA.</t>
  </si>
  <si>
    <t xml:space="preserve"> - Total des droits dus</t>
  </si>
  <si>
    <t xml:space="preserve"> Régularisation du prorata (art 40 c TCA)</t>
  </si>
  <si>
    <t>(+) (déduction excédentaire)</t>
  </si>
  <si>
    <t xml:space="preserve"> - Reversement (art.38CTCA)(+)</t>
  </si>
  <si>
    <t>C</t>
  </si>
  <si>
    <t>E3B97</t>
  </si>
  <si>
    <t>E3B98</t>
  </si>
  <si>
    <t xml:space="preserve"> - Total des déductions (B) (-)</t>
  </si>
  <si>
    <r>
      <rPr>
        <b/>
        <sz val="8"/>
        <color theme="1"/>
        <rFont val="Calibri"/>
        <family val="2"/>
        <scheme val="minor"/>
      </rPr>
      <t xml:space="preserve"> </t>
    </r>
    <r>
      <rPr>
        <b/>
        <u/>
        <sz val="8"/>
        <color theme="1"/>
        <rFont val="Calibri"/>
        <family val="2"/>
        <scheme val="minor"/>
      </rPr>
      <t>TVA a Payer au titre du mois (C-B)</t>
    </r>
  </si>
  <si>
    <t xml:space="preserve">  (A porter dans le cadre récapitulation) ligne 10)</t>
  </si>
  <si>
    <t xml:space="preserve"> PRECOMPTE à reporter sur le moi suivant(B-C)</t>
  </si>
  <si>
    <t xml:space="preserve">TOTAL A RAPPELER (C) مجموع المستحقات </t>
  </si>
  <si>
    <t>المـجـمــوع العـــام لـــرقـــم الاعــمــــــال</t>
  </si>
  <si>
    <t>E3B91</t>
  </si>
  <si>
    <t>E3B92</t>
  </si>
  <si>
    <t>E3B93</t>
  </si>
  <si>
    <t>E3B94</t>
  </si>
  <si>
    <t>E3B95</t>
  </si>
  <si>
    <t>E3B96</t>
  </si>
  <si>
    <t>B</t>
  </si>
  <si>
    <t>E3B00</t>
  </si>
  <si>
    <t>E3B99</t>
  </si>
  <si>
    <t xml:space="preserve">  حــــــق الطـــــــــــابع</t>
  </si>
  <si>
    <t xml:space="preserve">      Opérations imposables</t>
  </si>
  <si>
    <t xml:space="preserve">العمليات الخاضعة للضريبة </t>
  </si>
  <si>
    <t>Montant a payer (en DA)</t>
  </si>
  <si>
    <t>للضريبة</t>
  </si>
  <si>
    <r>
      <t>Chiffre d'affaires imposable</t>
    </r>
    <r>
      <rPr>
        <sz val="8"/>
        <color theme="1"/>
        <rFont val="Cambria"/>
        <family val="1"/>
        <scheme val="major"/>
      </rPr>
      <t xml:space="preserve"> رقم الاعمال الخاضع</t>
    </r>
  </si>
  <si>
    <t>(1) Ce cadre est utilisé notamment par les contribuables qui auront demandé à s'acquitter du droit de</t>
  </si>
  <si>
    <t>timbre sur état</t>
  </si>
  <si>
    <r>
      <t>Droit de timbre sur état</t>
    </r>
    <r>
      <rPr>
        <b/>
        <sz val="8"/>
        <color theme="1"/>
        <rFont val="Calibri"/>
        <family val="2"/>
        <scheme val="minor"/>
      </rPr>
      <t xml:space="preserve"> (1)</t>
    </r>
  </si>
  <si>
    <t>E2 E00</t>
  </si>
  <si>
    <t xml:space="preserve"> Impôts et taxes non repris ci-dessus  (Autres : à préciser)</t>
  </si>
  <si>
    <t>الضـــرائب والرســــوم الغيـــــر واردة أعـــــــلاه (خلافه : مع التوضيح)</t>
  </si>
  <si>
    <t>الضرائب و الرسوم</t>
  </si>
  <si>
    <t>impôts et taxes</t>
  </si>
  <si>
    <t>Base d'imposition الأساس الضريبي</t>
  </si>
  <si>
    <t>taux</t>
  </si>
  <si>
    <t>المبلغ المستحق(دج)( Montant à payer(da</t>
  </si>
  <si>
    <t>Payée-par Chéque bancaire N°……………..……………</t>
  </si>
  <si>
    <t>du …….......................................................................</t>
  </si>
  <si>
    <t>tiré sur l'Agence: ………………………………………………</t>
  </si>
  <si>
    <t>de ce jour</t>
  </si>
  <si>
    <t>A</t>
  </si>
  <si>
    <t>Le receveur des impôts</t>
  </si>
  <si>
    <t>Reçu - ce jour la présente déclaration enregistrée</t>
  </si>
  <si>
    <t>sous le Numrro: ………………….……..........................</t>
  </si>
  <si>
    <t xml:space="preserve"> -en numéraire :………………………………………………....</t>
  </si>
  <si>
    <t>le</t>
  </si>
  <si>
    <t xml:space="preserve">         Cachet                               signature          </t>
  </si>
  <si>
    <t>يشهد بصحة وصدق محتوى هذا التصريح</t>
  </si>
  <si>
    <t>و تطابقه مع الوثائق المحاسبية</t>
  </si>
  <si>
    <t>contenu de la présente déclaration</t>
  </si>
  <si>
    <t xml:space="preserve">comptables </t>
  </si>
  <si>
    <t>Certifie sincère et  véritable le</t>
  </si>
  <si>
    <t xml:space="preserve">et  conforme  aux documents </t>
  </si>
  <si>
    <t xml:space="preserve"> Cachet                 Signature        </t>
  </si>
  <si>
    <t>RECAPITULATION (EN DA)</t>
  </si>
  <si>
    <t>تـــلــخــــيـــص بــ (دج)</t>
  </si>
  <si>
    <t>Cadre réservé au contribuable</t>
  </si>
  <si>
    <t>إطار خاص بالمكلف بالضريبة</t>
  </si>
  <si>
    <t>cadre réservé à la recette des impôts</t>
  </si>
  <si>
    <t>إطار خاص بقباضة الضرائب</t>
  </si>
  <si>
    <t>cadre réservé au service d'assiette</t>
  </si>
  <si>
    <t>إطار خاص بمصلحة الوعاء</t>
  </si>
  <si>
    <t xml:space="preserve"> 1-AP/SL-IBS/CBS</t>
  </si>
  <si>
    <t xml:space="preserve"> 2-IBS/Retenues à la Source</t>
  </si>
  <si>
    <t xml:space="preserve"> 3-AP/SL-IRG(BIC/BNC) et</t>
  </si>
  <si>
    <t xml:space="preserve"> AP/RA</t>
  </si>
  <si>
    <t xml:space="preserve"> 4-IRG/Retenues à la source</t>
  </si>
  <si>
    <t xml:space="preserve"> 5-TLS</t>
  </si>
  <si>
    <t xml:space="preserve"> 6-Droits de timbre</t>
  </si>
  <si>
    <t xml:space="preserve"> 7-Autres</t>
  </si>
  <si>
    <t xml:space="preserve"> 8-tva</t>
  </si>
  <si>
    <t xml:space="preserve"> C/201001/102</t>
  </si>
  <si>
    <t xml:space="preserve"> C/201001/L3</t>
  </si>
  <si>
    <t xml:space="preserve"> C/201001/101</t>
  </si>
  <si>
    <t xml:space="preserve"> C/201001/A/B/</t>
  </si>
  <si>
    <t xml:space="preserve"> C/500028L/7</t>
  </si>
  <si>
    <t xml:space="preserve"> C/…………..</t>
  </si>
  <si>
    <t xml:space="preserve"> C/500020/A</t>
  </si>
  <si>
    <t xml:space="preserve">MONTANT TOTAL APAYER  </t>
  </si>
  <si>
    <t>……………………………………………..</t>
  </si>
  <si>
    <t xml:space="preserve"> Observations éventuelles</t>
  </si>
  <si>
    <t xml:space="preserve"> déclaration Eenregistrée le: ……..</t>
  </si>
  <si>
    <t>…………………………………………….</t>
  </si>
  <si>
    <t>……………………………</t>
  </si>
  <si>
    <t>…………………………..</t>
  </si>
  <si>
    <t>Prise en recette par quittance N° …………….…….</t>
  </si>
  <si>
    <t xml:space="preserve"> -par chéque  postal N° :…………….…………………... </t>
  </si>
  <si>
    <t>قناتي على فيسبوك</t>
  </si>
  <si>
    <t>صفحتي على فيسبوك</t>
  </si>
  <si>
    <t>قناتي على اليوتوب</t>
  </si>
  <si>
    <t xml:space="preserve">للإستفادة اكثر في مجال المحاسبة و الجباية </t>
  </si>
  <si>
    <t>https://web.facebook.com/comptable.qualifie</t>
  </si>
  <si>
    <t>comptable qualifie</t>
  </si>
  <si>
    <t>https://www.youtube.com/@compta-fisco</t>
  </si>
  <si>
    <t>compta fisco</t>
  </si>
  <si>
    <t>https://web.facebook.com/profile.php?id=61574198014292</t>
  </si>
  <si>
    <t>compta-fisco</t>
  </si>
</sst>
</file>

<file path=xl/styles.xml><?xml version="1.0" encoding="utf-8"?>
<styleSheet xmlns="http://schemas.openxmlformats.org/spreadsheetml/2006/main">
  <numFmts count="2">
    <numFmt numFmtId="43" formatCode="_-* #,##0.00\ _€_-;\-* #,##0.00\ _€_-;_-* &quot;-&quot;??\ _€_-;_-@_-"/>
    <numFmt numFmtId="164" formatCode="0.0%"/>
  </numFmts>
  <fonts count="33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ABH-Ogaret"/>
      <charset val="178"/>
    </font>
    <font>
      <b/>
      <sz val="8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sz val="8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8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9"/>
      <color rgb="FFFF0000"/>
      <name val="Calibri"/>
      <family val="2"/>
      <scheme val="minor"/>
    </font>
    <font>
      <sz val="7"/>
      <color theme="1"/>
      <name val="Calibri"/>
      <family val="2"/>
      <scheme val="minor"/>
    </font>
    <font>
      <sz val="5"/>
      <color theme="1"/>
      <name val="Cambria"/>
      <family val="1"/>
      <scheme val="major"/>
    </font>
    <font>
      <sz val="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1"/>
      <name val="Cambria"/>
      <family val="1"/>
      <scheme val="major"/>
    </font>
    <font>
      <b/>
      <u/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u/>
      <sz val="10"/>
      <color theme="1"/>
      <name val="Cambria"/>
      <family val="1"/>
      <scheme val="major"/>
    </font>
    <font>
      <b/>
      <sz val="6"/>
      <color theme="1"/>
      <name val="Calibri"/>
      <family val="2"/>
      <scheme val="minor"/>
    </font>
    <font>
      <b/>
      <sz val="6"/>
      <color theme="1"/>
      <name val="Cambria"/>
      <family val="1"/>
      <scheme val="major"/>
    </font>
    <font>
      <sz val="24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</borders>
  <cellStyleXfs count="3">
    <xf numFmtId="0" fontId="0" fillId="0" borderId="0"/>
    <xf numFmtId="43" fontId="23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</cellStyleXfs>
  <cellXfs count="662">
    <xf numFmtId="0" fontId="0" fillId="0" borderId="0" xfId="0"/>
    <xf numFmtId="0" fontId="1" fillId="0" borderId="0" xfId="0" applyFont="1" applyFill="1"/>
    <xf numFmtId="0" fontId="1" fillId="0" borderId="0" xfId="0" applyFont="1"/>
    <xf numFmtId="0" fontId="1" fillId="0" borderId="0" xfId="0" applyFont="1" applyAlignment="1"/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0" xfId="0" applyFont="1" applyAlignment="1">
      <alignment horizontal="left"/>
    </xf>
    <xf numFmtId="0" fontId="1" fillId="0" borderId="4" xfId="0" applyFont="1" applyBorder="1" applyAlignment="1"/>
    <xf numFmtId="0" fontId="1" fillId="0" borderId="0" xfId="0" applyFont="1" applyBorder="1" applyAlignment="1"/>
    <xf numFmtId="0" fontId="1" fillId="0" borderId="6" xfId="0" applyFont="1" applyBorder="1" applyAlignment="1"/>
    <xf numFmtId="0" fontId="1" fillId="0" borderId="7" xfId="0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/>
    <xf numFmtId="0" fontId="1" fillId="0" borderId="8" xfId="0" applyFont="1" applyFill="1" applyBorder="1"/>
    <xf numFmtId="0" fontId="1" fillId="0" borderId="13" xfId="0" applyFont="1" applyBorder="1"/>
    <xf numFmtId="0" fontId="0" fillId="0" borderId="0" xfId="0" applyFill="1"/>
    <xf numFmtId="0" fontId="1" fillId="0" borderId="0" xfId="0" applyFont="1" applyAlignment="1">
      <alignment vertical="center"/>
    </xf>
    <xf numFmtId="0" fontId="19" fillId="0" borderId="13" xfId="0" applyFont="1" applyBorder="1"/>
    <xf numFmtId="0" fontId="0" fillId="0" borderId="3" xfId="0" applyFill="1" applyBorder="1"/>
    <xf numFmtId="0" fontId="0" fillId="0" borderId="4" xfId="0" applyFill="1" applyBorder="1"/>
    <xf numFmtId="0" fontId="0" fillId="0" borderId="0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9" fillId="0" borderId="0" xfId="0" applyFont="1" applyBorder="1" applyAlignment="1">
      <alignment horizont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0" xfId="0" applyFill="1" applyAlignment="1">
      <alignment vertical="top"/>
    </xf>
    <xf numFmtId="0" fontId="0" fillId="0" borderId="1" xfId="0" applyFill="1" applyBorder="1"/>
    <xf numFmtId="0" fontId="0" fillId="0" borderId="4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0" fillId="0" borderId="9" xfId="0" applyFill="1" applyBorder="1" applyAlignment="1">
      <alignment vertical="top"/>
    </xf>
    <xf numFmtId="0" fontId="0" fillId="0" borderId="3" xfId="0" applyBorder="1"/>
    <xf numFmtId="0" fontId="0" fillId="0" borderId="8" xfId="0" applyBorder="1"/>
    <xf numFmtId="0" fontId="0" fillId="0" borderId="0" xfId="0" applyBorder="1"/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9" xfId="0" applyBorder="1" applyAlignment="1"/>
    <xf numFmtId="0" fontId="1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43" fontId="11" fillId="0" borderId="0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43" fontId="23" fillId="0" borderId="0" xfId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43" fontId="1" fillId="0" borderId="3" xfId="0" applyNumberFormat="1" applyFont="1" applyBorder="1" applyAlignment="1"/>
    <xf numFmtId="0" fontId="1" fillId="0" borderId="3" xfId="0" applyFont="1" applyBorder="1" applyAlignment="1"/>
    <xf numFmtId="0" fontId="1" fillId="0" borderId="6" xfId="0" applyFont="1" applyBorder="1" applyAlignment="1">
      <alignment horizontal="left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43" fontId="11" fillId="0" borderId="12" xfId="1" applyFont="1" applyBorder="1" applyAlignment="1">
      <alignment horizontal="center"/>
    </xf>
    <xf numFmtId="43" fontId="11" fillId="0" borderId="13" xfId="1" applyFont="1" applyBorder="1" applyAlignment="1">
      <alignment horizontal="center"/>
    </xf>
    <xf numFmtId="43" fontId="11" fillId="0" borderId="14" xfId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5" fillId="0" borderId="12" xfId="0" applyFont="1" applyBorder="1" applyAlignment="1">
      <alignment horizontal="right"/>
    </xf>
    <xf numFmtId="0" fontId="15" fillId="0" borderId="13" xfId="0" applyFont="1" applyBorder="1" applyAlignment="1">
      <alignment horizontal="right"/>
    </xf>
    <xf numFmtId="0" fontId="15" fillId="0" borderId="14" xfId="0" applyFont="1" applyBorder="1" applyAlignment="1">
      <alignment horizontal="right"/>
    </xf>
    <xf numFmtId="9" fontId="1" fillId="0" borderId="12" xfId="0" applyNumberFormat="1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43" fontId="23" fillId="0" borderId="12" xfId="1" applyFont="1" applyBorder="1" applyAlignment="1">
      <alignment horizontal="center"/>
    </xf>
    <xf numFmtId="43" fontId="23" fillId="0" borderId="13" xfId="1" applyFont="1" applyBorder="1" applyAlignment="1">
      <alignment horizontal="center"/>
    </xf>
    <xf numFmtId="43" fontId="23" fillId="0" borderId="14" xfId="1" applyFont="1" applyBorder="1" applyAlignment="1">
      <alignment horizontal="center"/>
    </xf>
    <xf numFmtId="43" fontId="0" fillId="0" borderId="12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43" fontId="0" fillId="0" borderId="14" xfId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5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top"/>
    </xf>
    <xf numFmtId="0" fontId="8" fillId="0" borderId="0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5" fillId="0" borderId="5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5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top"/>
    </xf>
    <xf numFmtId="0" fontId="1" fillId="0" borderId="7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0" xfId="0" applyFont="1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2" fillId="0" borderId="12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" fillId="0" borderId="16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4" fillId="0" borderId="20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4" fillId="0" borderId="22" xfId="0" applyFont="1" applyBorder="1" applyAlignment="1">
      <alignment horizontal="left" vertical="center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43" fontId="11" fillId="0" borderId="3" xfId="1" applyFont="1" applyBorder="1" applyAlignment="1">
      <alignment horizontal="center"/>
    </xf>
    <xf numFmtId="43" fontId="11" fillId="0" borderId="4" xfId="1" applyFont="1" applyBorder="1" applyAlignment="1">
      <alignment horizontal="center"/>
    </xf>
    <xf numFmtId="43" fontId="11" fillId="0" borderId="0" xfId="1" applyFont="1" applyBorder="1" applyAlignment="1">
      <alignment horizontal="center"/>
    </xf>
    <xf numFmtId="43" fontId="11" fillId="0" borderId="6" xfId="1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43" fontId="11" fillId="0" borderId="2" xfId="1" applyFont="1" applyBorder="1" applyAlignment="1">
      <alignment horizontal="center"/>
    </xf>
    <xf numFmtId="43" fontId="11" fillId="0" borderId="5" xfId="1" applyFont="1" applyBorder="1" applyAlignment="1">
      <alignment horizontal="center"/>
    </xf>
    <xf numFmtId="43" fontId="11" fillId="0" borderId="16" xfId="1" applyFont="1" applyBorder="1" applyAlignment="1">
      <alignment horizontal="center"/>
    </xf>
    <xf numFmtId="43" fontId="11" fillId="0" borderId="15" xfId="1" applyFont="1" applyBorder="1" applyAlignment="1">
      <alignment horizontal="center"/>
    </xf>
    <xf numFmtId="43" fontId="11" fillId="0" borderId="17" xfId="1" applyFont="1" applyBorder="1" applyAlignment="1">
      <alignment horizontal="center"/>
    </xf>
    <xf numFmtId="43" fontId="11" fillId="0" borderId="19" xfId="1" applyFont="1" applyBorder="1" applyAlignment="1">
      <alignment horizontal="center"/>
    </xf>
    <xf numFmtId="43" fontId="11" fillId="0" borderId="18" xfId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43" fontId="11" fillId="0" borderId="8" xfId="1" applyFont="1" applyBorder="1" applyAlignment="1">
      <alignment horizontal="center"/>
    </xf>
    <xf numFmtId="43" fontId="11" fillId="0" borderId="9" xfId="1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164" fontId="1" fillId="0" borderId="16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164" fontId="1" fillId="0" borderId="17" xfId="0" applyNumberFormat="1" applyFont="1" applyBorder="1" applyAlignment="1">
      <alignment horizontal="center"/>
    </xf>
    <xf numFmtId="43" fontId="11" fillId="0" borderId="7" xfId="1" applyFont="1" applyBorder="1" applyAlignment="1">
      <alignment horizontal="center"/>
    </xf>
    <xf numFmtId="0" fontId="14" fillId="0" borderId="16" xfId="0" applyFont="1" applyBorder="1" applyAlignment="1">
      <alignment horizontal="left"/>
    </xf>
    <xf numFmtId="0" fontId="14" fillId="0" borderId="15" xfId="0" applyFont="1" applyBorder="1" applyAlignment="1">
      <alignment horizontal="left"/>
    </xf>
    <xf numFmtId="0" fontId="14" fillId="0" borderId="18" xfId="0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43" fontId="11" fillId="0" borderId="2" xfId="1" applyFont="1" applyBorder="1" applyAlignment="1">
      <alignment horizontal="center" vertical="center"/>
    </xf>
    <xf numFmtId="43" fontId="11" fillId="0" borderId="3" xfId="1" applyFont="1" applyBorder="1" applyAlignment="1">
      <alignment horizontal="center" vertical="center"/>
    </xf>
    <xf numFmtId="43" fontId="11" fillId="0" borderId="4" xfId="1" applyFont="1" applyBorder="1" applyAlignment="1">
      <alignment horizontal="center" vertical="center"/>
    </xf>
    <xf numFmtId="43" fontId="11" fillId="0" borderId="5" xfId="1" applyFont="1" applyBorder="1" applyAlignment="1">
      <alignment horizontal="center" vertical="center"/>
    </xf>
    <xf numFmtId="43" fontId="11" fillId="0" borderId="0" xfId="1" applyFont="1" applyBorder="1" applyAlignment="1">
      <alignment horizontal="center" vertical="center"/>
    </xf>
    <xf numFmtId="43" fontId="11" fillId="0" borderId="6" xfId="1" applyFont="1" applyBorder="1" applyAlignment="1">
      <alignment horizontal="center" vertical="center"/>
    </xf>
    <xf numFmtId="9" fontId="1" fillId="0" borderId="2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 readingOrder="1"/>
    </xf>
    <xf numFmtId="0" fontId="1" fillId="0" borderId="27" xfId="0" applyFont="1" applyBorder="1" applyAlignment="1">
      <alignment horizontal="left" vertical="center" readingOrder="1"/>
    </xf>
    <xf numFmtId="0" fontId="1" fillId="0" borderId="28" xfId="0" applyFont="1" applyBorder="1" applyAlignment="1">
      <alignment horizontal="left" vertical="center" readingOrder="1"/>
    </xf>
    <xf numFmtId="0" fontId="14" fillId="0" borderId="16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43" fontId="11" fillId="0" borderId="16" xfId="1" applyFont="1" applyBorder="1" applyAlignment="1">
      <alignment horizontal="center" vertical="center"/>
    </xf>
    <xf numFmtId="43" fontId="11" fillId="0" borderId="15" xfId="1" applyFont="1" applyBorder="1" applyAlignment="1">
      <alignment horizontal="center" vertical="center"/>
    </xf>
    <xf numFmtId="43" fontId="11" fillId="0" borderId="17" xfId="1" applyFont="1" applyBorder="1" applyAlignment="1">
      <alignment horizontal="center" vertical="center"/>
    </xf>
    <xf numFmtId="43" fontId="11" fillId="0" borderId="19" xfId="1" applyFont="1" applyBorder="1" applyAlignment="1">
      <alignment horizontal="center" vertical="center"/>
    </xf>
    <xf numFmtId="43" fontId="11" fillId="0" borderId="18" xfId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20" fillId="0" borderId="0" xfId="0" applyFont="1" applyAlignment="1">
      <alignment horizontal="left"/>
    </xf>
    <xf numFmtId="43" fontId="11" fillId="0" borderId="7" xfId="1" applyFont="1" applyBorder="1" applyAlignment="1">
      <alignment horizontal="center" vertical="center"/>
    </xf>
    <xf numFmtId="43" fontId="11" fillId="0" borderId="8" xfId="1" applyFont="1" applyBorder="1" applyAlignment="1">
      <alignment horizontal="center" vertical="center"/>
    </xf>
    <xf numFmtId="43" fontId="11" fillId="0" borderId="9" xfId="1" applyFont="1" applyBorder="1" applyAlignment="1">
      <alignment horizontal="center" vertical="center"/>
    </xf>
    <xf numFmtId="43" fontId="11" fillId="0" borderId="12" xfId="1" applyFont="1" applyBorder="1" applyAlignment="1">
      <alignment horizontal="center" vertical="center"/>
    </xf>
    <xf numFmtId="43" fontId="11" fillId="0" borderId="13" xfId="1" applyFont="1" applyBorder="1" applyAlignment="1">
      <alignment horizontal="center" vertical="center"/>
    </xf>
    <xf numFmtId="43" fontId="11" fillId="0" borderId="14" xfId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1" xfId="0" applyBorder="1" applyAlignment="1">
      <alignment horizontal="center"/>
    </xf>
    <xf numFmtId="9" fontId="0" fillId="0" borderId="47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43" fontId="11" fillId="0" borderId="37" xfId="1" applyFont="1" applyBorder="1" applyAlignment="1">
      <alignment horizontal="center"/>
    </xf>
    <xf numFmtId="43" fontId="11" fillId="0" borderId="38" xfId="1" applyFont="1" applyBorder="1" applyAlignment="1">
      <alignment horizontal="center"/>
    </xf>
    <xf numFmtId="43" fontId="11" fillId="0" borderId="41" xfId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0" fillId="0" borderId="5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43" fontId="11" fillId="0" borderId="35" xfId="1" applyFont="1" applyBorder="1" applyAlignment="1">
      <alignment horizontal="center"/>
    </xf>
    <xf numFmtId="43" fontId="11" fillId="0" borderId="36" xfId="1" applyFont="1" applyBorder="1" applyAlignment="1">
      <alignment horizontal="center"/>
    </xf>
    <xf numFmtId="43" fontId="11" fillId="0" borderId="40" xfId="1" applyFont="1" applyBorder="1" applyAlignment="1">
      <alignment horizontal="center"/>
    </xf>
    <xf numFmtId="9" fontId="0" fillId="0" borderId="46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0" xfId="0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164" fontId="0" fillId="0" borderId="19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1" fillId="0" borderId="13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46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0" fillId="0" borderId="16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7" xfId="0" applyBorder="1" applyAlignment="1">
      <alignment horizontal="left"/>
    </xf>
    <xf numFmtId="43" fontId="11" fillId="0" borderId="16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3" fontId="11" fillId="0" borderId="12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4" fillId="0" borderId="12" xfId="0" applyFont="1" applyBorder="1" applyAlignment="1">
      <alignment horizontal="right" vertical="center"/>
    </xf>
    <xf numFmtId="0" fontId="14" fillId="0" borderId="13" xfId="0" applyFont="1" applyBorder="1" applyAlignment="1">
      <alignment horizontal="right" vertical="center"/>
    </xf>
    <xf numFmtId="0" fontId="14" fillId="0" borderId="14" xfId="0" applyFont="1" applyBorder="1" applyAlignment="1">
      <alignment horizontal="right" vertical="center"/>
    </xf>
    <xf numFmtId="0" fontId="0" fillId="0" borderId="29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1" fillId="0" borderId="30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" fillId="0" borderId="17" xfId="0" applyFont="1" applyBorder="1" applyAlignment="1">
      <alignment horizontal="lef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50" xfId="0" applyFont="1" applyBorder="1" applyAlignment="1">
      <alignment horizontal="left"/>
    </xf>
    <xf numFmtId="0" fontId="1" fillId="0" borderId="48" xfId="0" applyFont="1" applyBorder="1" applyAlignment="1">
      <alignment horizontal="left"/>
    </xf>
    <xf numFmtId="0" fontId="1" fillId="0" borderId="49" xfId="0" applyFont="1" applyBorder="1" applyAlignment="1">
      <alignment horizontal="left"/>
    </xf>
    <xf numFmtId="0" fontId="0" fillId="0" borderId="16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11" fillId="0" borderId="16" xfId="0" applyFont="1" applyBorder="1" applyAlignment="1">
      <alignment horizontal="center" vertical="center"/>
    </xf>
    <xf numFmtId="0" fontId="1" fillId="0" borderId="30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43" fontId="11" fillId="0" borderId="42" xfId="0" applyNumberFormat="1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0" fillId="0" borderId="35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40" xfId="0" applyBorder="1" applyAlignment="1">
      <alignment horizontal="left"/>
    </xf>
    <xf numFmtId="0" fontId="1" fillId="0" borderId="35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1" fillId="0" borderId="40" xfId="0" applyFont="1" applyBorder="1" applyAlignment="1">
      <alignment horizontal="left"/>
    </xf>
    <xf numFmtId="0" fontId="1" fillId="0" borderId="42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1" fillId="0" borderId="44" xfId="0" applyFont="1" applyBorder="1" applyAlignment="1">
      <alignment horizontal="left"/>
    </xf>
    <xf numFmtId="43" fontId="11" fillId="0" borderId="30" xfId="1" applyFont="1" applyFill="1" applyBorder="1" applyAlignment="1">
      <alignment horizontal="center"/>
    </xf>
    <xf numFmtId="43" fontId="11" fillId="0" borderId="29" xfId="1" applyFont="1" applyFill="1" applyBorder="1" applyAlignment="1">
      <alignment horizontal="center"/>
    </xf>
    <xf numFmtId="43" fontId="11" fillId="0" borderId="31" xfId="1" applyFont="1" applyFill="1" applyBorder="1" applyAlignment="1">
      <alignment horizontal="center"/>
    </xf>
    <xf numFmtId="43" fontId="11" fillId="0" borderId="7" xfId="1" applyFont="1" applyFill="1" applyBorder="1" applyAlignment="1">
      <alignment horizontal="center"/>
    </xf>
    <xf numFmtId="43" fontId="11" fillId="0" borderId="8" xfId="1" applyFont="1" applyFill="1" applyBorder="1" applyAlignment="1">
      <alignment horizontal="center"/>
    </xf>
    <xf numFmtId="43" fontId="11" fillId="0" borderId="9" xfId="1" applyFont="1" applyFill="1" applyBorder="1" applyAlignment="1">
      <alignment horizontal="center"/>
    </xf>
    <xf numFmtId="43" fontId="11" fillId="0" borderId="2" xfId="1" applyFont="1" applyFill="1" applyBorder="1" applyAlignment="1">
      <alignment horizontal="center"/>
    </xf>
    <xf numFmtId="43" fontId="11" fillId="0" borderId="3" xfId="1" applyFont="1" applyFill="1" applyBorder="1" applyAlignment="1">
      <alignment horizontal="center"/>
    </xf>
    <xf numFmtId="43" fontId="11" fillId="0" borderId="4" xfId="1" applyFont="1" applyFill="1" applyBorder="1" applyAlignment="1">
      <alignment horizontal="center"/>
    </xf>
    <xf numFmtId="0" fontId="11" fillId="0" borderId="16" xfId="0" applyFont="1" applyFill="1" applyBorder="1" applyAlignment="1">
      <alignment horizontal="center"/>
    </xf>
    <xf numFmtId="0" fontId="11" fillId="0" borderId="15" xfId="0" applyFont="1" applyFill="1" applyBorder="1" applyAlignment="1">
      <alignment horizontal="center"/>
    </xf>
    <xf numFmtId="0" fontId="11" fillId="0" borderId="17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0" fillId="0" borderId="12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0" fontId="0" fillId="0" borderId="14" xfId="0" applyFill="1" applyBorder="1" applyAlignment="1">
      <alignment horizontal="left"/>
    </xf>
    <xf numFmtId="43" fontId="11" fillId="0" borderId="26" xfId="1" applyFont="1" applyFill="1" applyBorder="1" applyAlignment="1">
      <alignment horizontal="center"/>
    </xf>
    <xf numFmtId="43" fontId="11" fillId="0" borderId="27" xfId="1" applyFont="1" applyFill="1" applyBorder="1" applyAlignment="1">
      <alignment horizontal="center"/>
    </xf>
    <xf numFmtId="43" fontId="11" fillId="0" borderId="28" xfId="1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43" fontId="11" fillId="0" borderId="5" xfId="1" applyFont="1" applyFill="1" applyBorder="1" applyAlignment="1">
      <alignment horizontal="center" vertical="center"/>
    </xf>
    <xf numFmtId="43" fontId="11" fillId="0" borderId="0" xfId="1" applyFont="1" applyFill="1" applyAlignment="1">
      <alignment horizontal="center" vertical="center"/>
    </xf>
    <xf numFmtId="0" fontId="27" fillId="0" borderId="26" xfId="0" applyFont="1" applyFill="1" applyBorder="1" applyAlignment="1">
      <alignment horizontal="left" vertical="center"/>
    </xf>
    <xf numFmtId="0" fontId="27" fillId="0" borderId="27" xfId="0" applyFont="1" applyFill="1" applyBorder="1" applyAlignment="1">
      <alignment horizontal="left" vertical="center"/>
    </xf>
    <xf numFmtId="0" fontId="27" fillId="0" borderId="28" xfId="0" applyFont="1" applyFill="1" applyBorder="1" applyAlignment="1">
      <alignment horizontal="left" vertical="center"/>
    </xf>
    <xf numFmtId="0" fontId="2" fillId="0" borderId="26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6" xfId="0" applyFont="1" applyFill="1" applyBorder="1" applyAlignment="1">
      <alignment horizontal="center"/>
    </xf>
    <xf numFmtId="0" fontId="2" fillId="0" borderId="27" xfId="0" applyFont="1" applyFill="1" applyBorder="1" applyAlignment="1">
      <alignment horizontal="center"/>
    </xf>
    <xf numFmtId="0" fontId="2" fillId="0" borderId="28" xfId="0" applyFont="1" applyFill="1" applyBorder="1" applyAlignment="1">
      <alignment horizontal="center"/>
    </xf>
    <xf numFmtId="0" fontId="2" fillId="0" borderId="30" xfId="0" applyFont="1" applyFill="1" applyBorder="1" applyAlignment="1">
      <alignment horizontal="center"/>
    </xf>
    <xf numFmtId="0" fontId="2" fillId="0" borderId="29" xfId="0" applyFont="1" applyFill="1" applyBorder="1" applyAlignment="1">
      <alignment horizontal="center"/>
    </xf>
    <xf numFmtId="0" fontId="2" fillId="0" borderId="31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0" fontId="2" fillId="0" borderId="21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42" xfId="0" applyFont="1" applyBorder="1" applyAlignment="1">
      <alignment horizontal="left"/>
    </xf>
    <xf numFmtId="0" fontId="2" fillId="0" borderId="43" xfId="0" applyFont="1" applyBorder="1" applyAlignment="1">
      <alignment horizontal="left"/>
    </xf>
    <xf numFmtId="0" fontId="2" fillId="0" borderId="44" xfId="0" applyFont="1" applyBorder="1" applyAlignment="1">
      <alignment horizontal="left"/>
    </xf>
    <xf numFmtId="0" fontId="1" fillId="0" borderId="20" xfId="0" applyFont="1" applyFill="1" applyBorder="1" applyAlignment="1">
      <alignment horizontal="left"/>
    </xf>
    <xf numFmtId="0" fontId="1" fillId="0" borderId="21" xfId="0" applyFont="1" applyFill="1" applyBorder="1" applyAlignment="1">
      <alignment horizontal="left"/>
    </xf>
    <xf numFmtId="0" fontId="1" fillId="0" borderId="22" xfId="0" applyFont="1" applyFill="1" applyBorder="1" applyAlignment="1">
      <alignment horizontal="left"/>
    </xf>
    <xf numFmtId="0" fontId="2" fillId="0" borderId="42" xfId="0" applyFont="1" applyFill="1" applyBorder="1" applyAlignment="1">
      <alignment horizontal="center"/>
    </xf>
    <xf numFmtId="0" fontId="2" fillId="0" borderId="43" xfId="0" applyFont="1" applyFill="1" applyBorder="1" applyAlignment="1">
      <alignment horizontal="center"/>
    </xf>
    <xf numFmtId="0" fontId="2" fillId="0" borderId="44" xfId="0" applyFont="1" applyFill="1" applyBorder="1" applyAlignment="1">
      <alignment horizontal="center"/>
    </xf>
    <xf numFmtId="43" fontId="11" fillId="0" borderId="42" xfId="1" applyFont="1" applyFill="1" applyBorder="1" applyAlignment="1">
      <alignment horizontal="center"/>
    </xf>
    <xf numFmtId="43" fontId="11" fillId="0" borderId="43" xfId="1" applyFont="1" applyFill="1" applyBorder="1" applyAlignment="1">
      <alignment horizontal="center"/>
    </xf>
    <xf numFmtId="43" fontId="11" fillId="0" borderId="44" xfId="1" applyFont="1" applyFill="1" applyBorder="1" applyAlignment="1">
      <alignment horizontal="center"/>
    </xf>
    <xf numFmtId="43" fontId="11" fillId="0" borderId="3" xfId="1" applyFont="1" applyFill="1" applyBorder="1" applyAlignment="1">
      <alignment horizontal="center" vertical="center"/>
    </xf>
    <xf numFmtId="43" fontId="11" fillId="0" borderId="4" xfId="1" applyFont="1" applyFill="1" applyBorder="1" applyAlignment="1">
      <alignment horizontal="center" vertical="center"/>
    </xf>
    <xf numFmtId="43" fontId="11" fillId="0" borderId="8" xfId="1" applyFont="1" applyFill="1" applyBorder="1" applyAlignment="1">
      <alignment horizontal="center" vertical="center"/>
    </xf>
    <xf numFmtId="43" fontId="11" fillId="0" borderId="9" xfId="1" applyFont="1" applyFill="1" applyBorder="1" applyAlignment="1">
      <alignment horizontal="center" vertical="center"/>
    </xf>
    <xf numFmtId="0" fontId="26" fillId="0" borderId="12" xfId="0" applyFont="1" applyFill="1" applyBorder="1" applyAlignment="1">
      <alignment horizontal="center" vertical="center"/>
    </xf>
    <xf numFmtId="0" fontId="26" fillId="0" borderId="13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/>
    </xf>
    <xf numFmtId="0" fontId="17" fillId="0" borderId="4" xfId="0" applyFont="1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43" fontId="11" fillId="0" borderId="19" xfId="1" applyFont="1" applyFill="1" applyBorder="1" applyAlignment="1">
      <alignment horizontal="center"/>
    </xf>
    <xf numFmtId="43" fontId="11" fillId="0" borderId="15" xfId="1" applyFont="1" applyFill="1" applyBorder="1" applyAlignment="1">
      <alignment horizontal="center"/>
    </xf>
    <xf numFmtId="43" fontId="11" fillId="0" borderId="17" xfId="1" applyFont="1" applyFill="1" applyBorder="1" applyAlignment="1">
      <alignment horizontal="center"/>
    </xf>
    <xf numFmtId="0" fontId="0" fillId="0" borderId="47" xfId="0" applyFill="1" applyBorder="1" applyAlignment="1">
      <alignment horizontal="center"/>
    </xf>
    <xf numFmtId="0" fontId="0" fillId="0" borderId="38" xfId="0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0" borderId="37" xfId="0" applyFill="1" applyBorder="1" applyAlignment="1">
      <alignment horizontal="center"/>
    </xf>
    <xf numFmtId="0" fontId="0" fillId="0" borderId="41" xfId="0" applyFill="1" applyBorder="1" applyAlignment="1">
      <alignment horizontal="center"/>
    </xf>
    <xf numFmtId="0" fontId="1" fillId="0" borderId="37" xfId="0" applyFont="1" applyFill="1" applyBorder="1" applyAlignment="1">
      <alignment horizontal="center"/>
    </xf>
    <xf numFmtId="0" fontId="1" fillId="0" borderId="38" xfId="0" applyFont="1" applyFill="1" applyBorder="1" applyAlignment="1">
      <alignment horizontal="center"/>
    </xf>
    <xf numFmtId="0" fontId="1" fillId="0" borderId="41" xfId="0" applyFont="1" applyFill="1" applyBorder="1" applyAlignment="1">
      <alignment horizontal="center"/>
    </xf>
    <xf numFmtId="43" fontId="11" fillId="0" borderId="47" xfId="1" applyFont="1" applyFill="1" applyBorder="1" applyAlignment="1">
      <alignment horizontal="center"/>
    </xf>
    <xf numFmtId="43" fontId="11" fillId="0" borderId="38" xfId="1" applyFont="1" applyFill="1" applyBorder="1" applyAlignment="1">
      <alignment horizontal="center"/>
    </xf>
    <xf numFmtId="43" fontId="11" fillId="0" borderId="41" xfId="1" applyFont="1" applyFill="1" applyBorder="1" applyAlignment="1">
      <alignment horizontal="center"/>
    </xf>
    <xf numFmtId="0" fontId="0" fillId="0" borderId="37" xfId="0" applyFill="1" applyBorder="1" applyAlignment="1">
      <alignment horizontal="center" vertical="top"/>
    </xf>
    <xf numFmtId="0" fontId="0" fillId="0" borderId="38" xfId="0" applyFill="1" applyBorder="1" applyAlignment="1">
      <alignment horizontal="center" vertical="top"/>
    </xf>
    <xf numFmtId="0" fontId="0" fillId="0" borderId="39" xfId="0" applyFill="1" applyBorder="1" applyAlignment="1">
      <alignment horizontal="center" vertical="top"/>
    </xf>
    <xf numFmtId="0" fontId="0" fillId="0" borderId="41" xfId="0" applyFill="1" applyBorder="1" applyAlignment="1">
      <alignment horizontal="center" vertical="top"/>
    </xf>
    <xf numFmtId="0" fontId="0" fillId="0" borderId="47" xfId="0" applyFill="1" applyBorder="1" applyAlignment="1">
      <alignment horizontal="center" vertical="top"/>
    </xf>
    <xf numFmtId="0" fontId="1" fillId="0" borderId="37" xfId="0" applyFont="1" applyFill="1" applyBorder="1" applyAlignment="1">
      <alignment horizontal="center" vertical="top"/>
    </xf>
    <xf numFmtId="0" fontId="1" fillId="0" borderId="38" xfId="0" applyFont="1" applyFill="1" applyBorder="1" applyAlignment="1">
      <alignment horizontal="center" vertical="top"/>
    </xf>
    <xf numFmtId="0" fontId="1" fillId="0" borderId="41" xfId="0" applyFont="1" applyFill="1" applyBorder="1" applyAlignment="1">
      <alignment horizontal="center" vertical="top"/>
    </xf>
    <xf numFmtId="0" fontId="0" fillId="0" borderId="34" xfId="0" applyFill="1" applyBorder="1" applyAlignment="1">
      <alignment horizontal="center"/>
    </xf>
    <xf numFmtId="0" fontId="0" fillId="0" borderId="43" xfId="0" applyFill="1" applyBorder="1" applyAlignment="1">
      <alignment horizontal="center"/>
    </xf>
    <xf numFmtId="0" fontId="0" fillId="0" borderId="33" xfId="0" applyFill="1" applyBorder="1" applyAlignment="1">
      <alignment horizontal="center"/>
    </xf>
    <xf numFmtId="0" fontId="0" fillId="0" borderId="42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9" fontId="1" fillId="0" borderId="42" xfId="0" applyNumberFormat="1" applyFont="1" applyFill="1" applyBorder="1" applyAlignment="1">
      <alignment horizontal="center"/>
    </xf>
    <xf numFmtId="0" fontId="1" fillId="0" borderId="43" xfId="0" applyFont="1" applyFill="1" applyBorder="1" applyAlignment="1">
      <alignment horizontal="center"/>
    </xf>
    <xf numFmtId="0" fontId="1" fillId="0" borderId="44" xfId="0" applyFont="1" applyFill="1" applyBorder="1" applyAlignment="1">
      <alignment horizontal="center"/>
    </xf>
    <xf numFmtId="43" fontId="11" fillId="0" borderId="34" xfId="1" applyFont="1" applyFill="1" applyBorder="1" applyAlignment="1">
      <alignment horizontal="center"/>
    </xf>
    <xf numFmtId="0" fontId="0" fillId="0" borderId="35" xfId="0" applyFill="1" applyBorder="1" applyAlignment="1">
      <alignment horizontal="center"/>
    </xf>
    <xf numFmtId="0" fontId="0" fillId="0" borderId="36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45" xfId="0" applyFill="1" applyBorder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6" fillId="0" borderId="0" xfId="0" applyFont="1" applyFill="1" applyAlignment="1">
      <alignment horizontal="right" vertical="top"/>
    </xf>
    <xf numFmtId="0" fontId="16" fillId="0" borderId="0" xfId="0" applyFont="1" applyFill="1" applyAlignment="1">
      <alignment horizontal="right" vertical="center"/>
    </xf>
    <xf numFmtId="0" fontId="16" fillId="0" borderId="0" xfId="0" applyFont="1" applyFill="1" applyAlignment="1">
      <alignment horizontal="right"/>
    </xf>
    <xf numFmtId="0" fontId="24" fillId="0" borderId="3" xfId="0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center"/>
    </xf>
    <xf numFmtId="0" fontId="18" fillId="0" borderId="2" xfId="0" applyFont="1" applyFill="1" applyBorder="1" applyAlignment="1">
      <alignment horizontal="center"/>
    </xf>
    <xf numFmtId="0" fontId="18" fillId="0" borderId="3" xfId="0" applyFont="1" applyFill="1" applyBorder="1" applyAlignment="1">
      <alignment horizontal="center"/>
    </xf>
    <xf numFmtId="0" fontId="18" fillId="0" borderId="4" xfId="0" applyFont="1" applyFill="1" applyBorder="1" applyAlignment="1">
      <alignment horizontal="center"/>
    </xf>
    <xf numFmtId="0" fontId="18" fillId="0" borderId="5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8" fillId="0" borderId="6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2" fillId="2" borderId="18" xfId="0" applyFont="1" applyFill="1" applyBorder="1" applyAlignment="1">
      <alignment horizontal="left"/>
    </xf>
    <xf numFmtId="0" fontId="2" fillId="0" borderId="16" xfId="0" applyFont="1" applyFill="1" applyBorder="1" applyAlignment="1">
      <alignment horizontal="left"/>
    </xf>
    <xf numFmtId="0" fontId="2" fillId="0" borderId="15" xfId="0" applyFont="1" applyFill="1" applyBorder="1" applyAlignment="1">
      <alignment horizontal="left"/>
    </xf>
    <xf numFmtId="0" fontId="2" fillId="0" borderId="17" xfId="0" applyFont="1" applyFill="1" applyBorder="1" applyAlignment="1">
      <alignment horizontal="left"/>
    </xf>
    <xf numFmtId="43" fontId="11" fillId="0" borderId="46" xfId="1" applyFont="1" applyFill="1" applyBorder="1" applyAlignment="1">
      <alignment horizontal="center"/>
    </xf>
    <xf numFmtId="43" fontId="11" fillId="0" borderId="36" xfId="1" applyFont="1" applyFill="1" applyBorder="1" applyAlignment="1">
      <alignment horizontal="center"/>
    </xf>
    <xf numFmtId="43" fontId="11" fillId="0" borderId="40" xfId="1" applyFont="1" applyFill="1" applyBorder="1" applyAlignment="1">
      <alignment horizontal="center"/>
    </xf>
    <xf numFmtId="9" fontId="1" fillId="0" borderId="35" xfId="0" applyNumberFormat="1" applyFont="1" applyFill="1" applyBorder="1" applyAlignment="1">
      <alignment horizontal="center"/>
    </xf>
    <xf numFmtId="0" fontId="1" fillId="0" borderId="36" xfId="0" applyFont="1" applyFill="1" applyBorder="1" applyAlignment="1">
      <alignment horizontal="center"/>
    </xf>
    <xf numFmtId="0" fontId="1" fillId="0" borderId="40" xfId="0" applyFont="1" applyFill="1" applyBorder="1" applyAlignment="1">
      <alignment horizontal="center"/>
    </xf>
    <xf numFmtId="0" fontId="0" fillId="0" borderId="46" xfId="0" applyFill="1" applyBorder="1" applyAlignment="1">
      <alignment horizontal="center"/>
    </xf>
    <xf numFmtId="0" fontId="5" fillId="0" borderId="8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left"/>
    </xf>
    <xf numFmtId="0" fontId="2" fillId="2" borderId="36" xfId="0" applyFont="1" applyFill="1" applyBorder="1" applyAlignment="1">
      <alignment horizontal="left"/>
    </xf>
    <xf numFmtId="0" fontId="2" fillId="2" borderId="45" xfId="0" applyFont="1" applyFill="1" applyBorder="1" applyAlignment="1">
      <alignment horizontal="left"/>
    </xf>
    <xf numFmtId="0" fontId="2" fillId="0" borderId="0" xfId="0" applyFont="1" applyFill="1" applyAlignment="1"/>
    <xf numFmtId="0" fontId="2" fillId="0" borderId="0" xfId="0" applyFont="1" applyFill="1" applyAlignment="1">
      <alignment vertical="top"/>
    </xf>
    <xf numFmtId="0" fontId="2" fillId="0" borderId="8" xfId="0" applyFont="1" applyFill="1" applyBorder="1" applyAlignment="1"/>
    <xf numFmtId="0" fontId="2" fillId="0" borderId="0" xfId="0" applyFont="1" applyFill="1" applyAlignment="1">
      <alignment vertical="center"/>
    </xf>
    <xf numFmtId="0" fontId="2" fillId="0" borderId="35" xfId="0" applyFont="1" applyFill="1" applyBorder="1" applyAlignment="1">
      <alignment horizontal="center"/>
    </xf>
    <xf numFmtId="0" fontId="2" fillId="0" borderId="36" xfId="0" applyFont="1" applyFill="1" applyBorder="1" applyAlignment="1">
      <alignment horizontal="center"/>
    </xf>
    <xf numFmtId="0" fontId="2" fillId="0" borderId="45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28" fillId="0" borderId="13" xfId="0" applyFont="1" applyFill="1" applyBorder="1" applyAlignment="1">
      <alignment horizontal="center" vertical="center"/>
    </xf>
    <xf numFmtId="0" fontId="28" fillId="0" borderId="14" xfId="0" applyFont="1" applyFill="1" applyBorder="1" applyAlignment="1">
      <alignment horizontal="center" vertical="center"/>
    </xf>
    <xf numFmtId="0" fontId="26" fillId="0" borderId="12" xfId="0" applyFont="1" applyFill="1" applyBorder="1" applyAlignment="1">
      <alignment horizontal="left" vertical="center"/>
    </xf>
    <xf numFmtId="0" fontId="26" fillId="0" borderId="13" xfId="0" applyFont="1" applyFill="1" applyBorder="1" applyAlignment="1">
      <alignment horizontal="left" vertical="center"/>
    </xf>
    <xf numFmtId="0" fontId="0" fillId="0" borderId="50" xfId="0" applyFill="1" applyBorder="1" applyAlignment="1">
      <alignment horizontal="center"/>
    </xf>
    <xf numFmtId="0" fontId="0" fillId="0" borderId="48" xfId="0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35" xfId="0" applyFont="1" applyFill="1" applyBorder="1" applyAlignment="1">
      <alignment horizontal="left"/>
    </xf>
    <xf numFmtId="0" fontId="2" fillId="0" borderId="36" xfId="0" applyFont="1" applyFill="1" applyBorder="1" applyAlignment="1">
      <alignment horizontal="left"/>
    </xf>
    <xf numFmtId="0" fontId="2" fillId="0" borderId="40" xfId="0" applyFont="1" applyFill="1" applyBorder="1" applyAlignment="1">
      <alignment horizontal="left"/>
    </xf>
    <xf numFmtId="0" fontId="2" fillId="0" borderId="16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37" xfId="0" applyFont="1" applyFill="1" applyBorder="1" applyAlignment="1">
      <alignment horizontal="center"/>
    </xf>
    <xf numFmtId="0" fontId="2" fillId="0" borderId="38" xfId="0" applyFont="1" applyFill="1" applyBorder="1" applyAlignment="1">
      <alignment horizontal="center"/>
    </xf>
    <xf numFmtId="0" fontId="2" fillId="0" borderId="39" xfId="0" applyFont="1" applyFill="1" applyBorder="1" applyAlignment="1">
      <alignment horizontal="center"/>
    </xf>
    <xf numFmtId="0" fontId="2" fillId="0" borderId="40" xfId="0" applyFont="1" applyFill="1" applyBorder="1" applyAlignment="1">
      <alignment horizontal="center"/>
    </xf>
    <xf numFmtId="0" fontId="30" fillId="0" borderId="19" xfId="0" applyFont="1" applyBorder="1" applyAlignment="1">
      <alignment horizontal="left" vertical="center"/>
    </xf>
    <xf numFmtId="0" fontId="30" fillId="0" borderId="15" xfId="0" applyFont="1" applyBorder="1" applyAlignment="1">
      <alignment horizontal="left" vertical="center"/>
    </xf>
    <xf numFmtId="0" fontId="30" fillId="0" borderId="18" xfId="0" applyFont="1" applyBorder="1" applyAlignment="1">
      <alignment horizontal="left" vertical="center"/>
    </xf>
    <xf numFmtId="0" fontId="29" fillId="0" borderId="19" xfId="0" applyFont="1" applyBorder="1" applyAlignment="1">
      <alignment horizontal="left" vertical="top"/>
    </xf>
    <xf numFmtId="0" fontId="29" fillId="0" borderId="15" xfId="0" applyFont="1" applyBorder="1" applyAlignment="1">
      <alignment horizontal="left" vertical="top"/>
    </xf>
    <xf numFmtId="0" fontId="29" fillId="0" borderId="18" xfId="0" applyFont="1" applyBorder="1" applyAlignment="1">
      <alignment horizontal="left" vertical="top"/>
    </xf>
    <xf numFmtId="0" fontId="5" fillId="0" borderId="32" xfId="0" applyFont="1" applyBorder="1" applyAlignment="1">
      <alignment horizontal="right"/>
    </xf>
    <xf numFmtId="0" fontId="5" fillId="0" borderId="48" xfId="0" applyFont="1" applyBorder="1" applyAlignment="1">
      <alignment horizontal="right"/>
    </xf>
    <xf numFmtId="0" fontId="5" fillId="0" borderId="49" xfId="0" applyFont="1" applyBorder="1" applyAlignment="1">
      <alignment horizontal="right"/>
    </xf>
    <xf numFmtId="0" fontId="2" fillId="0" borderId="33" xfId="0" applyFont="1" applyFill="1" applyBorder="1" applyAlignment="1">
      <alignment horizontal="center"/>
    </xf>
    <xf numFmtId="0" fontId="2" fillId="0" borderId="37" xfId="0" applyFont="1" applyFill="1" applyBorder="1" applyAlignment="1">
      <alignment horizontal="left"/>
    </xf>
    <xf numFmtId="0" fontId="2" fillId="0" borderId="38" xfId="0" applyFont="1" applyFill="1" applyBorder="1" applyAlignment="1">
      <alignment horizontal="left"/>
    </xf>
    <xf numFmtId="0" fontId="2" fillId="0" borderId="41" xfId="0" applyFont="1" applyFill="1" applyBorder="1" applyAlignment="1">
      <alignment horizontal="left"/>
    </xf>
    <xf numFmtId="0" fontId="2" fillId="0" borderId="37" xfId="0" applyFont="1" applyFill="1" applyBorder="1" applyAlignment="1">
      <alignment horizontal="left" vertical="top"/>
    </xf>
    <xf numFmtId="0" fontId="2" fillId="0" borderId="38" xfId="0" applyFont="1" applyFill="1" applyBorder="1" applyAlignment="1">
      <alignment horizontal="left" vertical="top"/>
    </xf>
    <xf numFmtId="0" fontId="2" fillId="0" borderId="41" xfId="0" applyFont="1" applyFill="1" applyBorder="1" applyAlignment="1">
      <alignment horizontal="left" vertical="top"/>
    </xf>
    <xf numFmtId="0" fontId="2" fillId="0" borderId="42" xfId="0" applyFont="1" applyFill="1" applyBorder="1" applyAlignment="1">
      <alignment horizontal="left"/>
    </xf>
    <xf numFmtId="0" fontId="2" fillId="0" borderId="43" xfId="0" applyFont="1" applyFill="1" applyBorder="1" applyAlignment="1">
      <alignment horizontal="left"/>
    </xf>
    <xf numFmtId="0" fontId="2" fillId="0" borderId="44" xfId="0" applyFont="1" applyFill="1" applyBorder="1" applyAlignment="1">
      <alignment horizontal="left"/>
    </xf>
    <xf numFmtId="0" fontId="31" fillId="0" borderId="0" xfId="0" applyFont="1" applyAlignment="1">
      <alignment horizontal="center"/>
    </xf>
    <xf numFmtId="0" fontId="32" fillId="0" borderId="0" xfId="2" applyAlignment="1" applyProtection="1"/>
  </cellXfs>
  <cellStyles count="3">
    <cellStyle name="Lien hypertexte" xfId="2" builtinId="8"/>
    <cellStyle name="Milliers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84667</xdr:colOff>
      <xdr:row>18</xdr:row>
      <xdr:rowOff>74083</xdr:rowOff>
    </xdr:from>
    <xdr:to>
      <xdr:col>9</xdr:col>
      <xdr:colOff>52917</xdr:colOff>
      <xdr:row>18</xdr:row>
      <xdr:rowOff>232833</xdr:rowOff>
    </xdr:to>
    <xdr:sp macro="" textlink="">
      <xdr:nvSpPr>
        <xdr:cNvPr id="4" name="Rectangle à coins arrondis 3"/>
        <xdr:cNvSpPr/>
      </xdr:nvSpPr>
      <xdr:spPr>
        <a:xfrm>
          <a:off x="751417" y="3683000"/>
          <a:ext cx="158750" cy="158750"/>
        </a:xfrm>
        <a:prstGeom prst="round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98</xdr:col>
      <xdr:colOff>8660</xdr:colOff>
      <xdr:row>34</xdr:row>
      <xdr:rowOff>164522</xdr:rowOff>
    </xdr:from>
    <xdr:to>
      <xdr:col>100</xdr:col>
      <xdr:colOff>17319</xdr:colOff>
      <xdr:row>34</xdr:row>
      <xdr:rowOff>166110</xdr:rowOff>
    </xdr:to>
    <xdr:cxnSp macro="">
      <xdr:nvCxnSpPr>
        <xdr:cNvPr id="7" name="Connecteur droit avec flèche 6"/>
        <xdr:cNvCxnSpPr/>
      </xdr:nvCxnSpPr>
      <xdr:spPr>
        <a:xfrm rot="10800000">
          <a:off x="9949296" y="5567795"/>
          <a:ext cx="259773" cy="1588"/>
        </a:xfrm>
        <a:prstGeom prst="straightConnector1">
          <a:avLst/>
        </a:prstGeom>
        <a:ln w="1270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8658</xdr:colOff>
      <xdr:row>31</xdr:row>
      <xdr:rowOff>4</xdr:rowOff>
    </xdr:from>
    <xdr:to>
      <xdr:col>100</xdr:col>
      <xdr:colOff>9071</xdr:colOff>
      <xdr:row>34</xdr:row>
      <xdr:rowOff>164523</xdr:rowOff>
    </xdr:to>
    <xdr:cxnSp macro="">
      <xdr:nvCxnSpPr>
        <xdr:cNvPr id="9" name="Connecteur droit 8"/>
        <xdr:cNvCxnSpPr/>
      </xdr:nvCxnSpPr>
      <xdr:spPr>
        <a:xfrm rot="5400000">
          <a:off x="9925588" y="5223289"/>
          <a:ext cx="622626" cy="413"/>
        </a:xfrm>
        <a:prstGeom prst="line">
          <a:avLst/>
        </a:prstGeom>
        <a:ln w="127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8661</xdr:colOff>
      <xdr:row>31</xdr:row>
      <xdr:rowOff>0</xdr:rowOff>
    </xdr:from>
    <xdr:to>
      <xdr:col>100</xdr:col>
      <xdr:colOff>4535</xdr:colOff>
      <xdr:row>31</xdr:row>
      <xdr:rowOff>1588</xdr:rowOff>
    </xdr:to>
    <xdr:cxnSp macro="">
      <xdr:nvCxnSpPr>
        <xdr:cNvPr id="14" name="Connecteur droit 13"/>
        <xdr:cNvCxnSpPr/>
      </xdr:nvCxnSpPr>
      <xdr:spPr>
        <a:xfrm rot="10800000">
          <a:off x="10132375" y="4912179"/>
          <a:ext cx="100196" cy="1588"/>
        </a:xfrm>
        <a:prstGeom prst="line">
          <a:avLst/>
        </a:prstGeom>
        <a:ln w="127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95250</xdr:colOff>
      <xdr:row>40</xdr:row>
      <xdr:rowOff>89297</xdr:rowOff>
    </xdr:from>
    <xdr:to>
      <xdr:col>55</xdr:col>
      <xdr:colOff>5954</xdr:colOff>
      <xdr:row>40</xdr:row>
      <xdr:rowOff>90885</xdr:rowOff>
    </xdr:to>
    <xdr:cxnSp macro="">
      <xdr:nvCxnSpPr>
        <xdr:cNvPr id="22" name="Connecteur droit avec flèche 21"/>
        <xdr:cNvCxnSpPr/>
      </xdr:nvCxnSpPr>
      <xdr:spPr>
        <a:xfrm>
          <a:off x="5560219" y="6554391"/>
          <a:ext cx="125016" cy="1588"/>
        </a:xfrm>
        <a:prstGeom prst="straightConnector1">
          <a:avLst/>
        </a:prstGeom>
        <a:ln w="1270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94457</xdr:colOff>
      <xdr:row>40</xdr:row>
      <xdr:rowOff>84137</xdr:rowOff>
    </xdr:from>
    <xdr:to>
      <xdr:col>53</xdr:col>
      <xdr:colOff>96045</xdr:colOff>
      <xdr:row>44</xdr:row>
      <xdr:rowOff>793</xdr:rowOff>
    </xdr:to>
    <xdr:cxnSp macro="">
      <xdr:nvCxnSpPr>
        <xdr:cNvPr id="24" name="Connecteur droit 23"/>
        <xdr:cNvCxnSpPr/>
      </xdr:nvCxnSpPr>
      <xdr:spPr>
        <a:xfrm rot="5400000">
          <a:off x="5292329" y="6816328"/>
          <a:ext cx="535781" cy="1588"/>
        </a:xfrm>
        <a:prstGeom prst="line">
          <a:avLst/>
        </a:prstGeom>
        <a:ln w="127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101203</xdr:colOff>
      <xdr:row>44</xdr:row>
      <xdr:rowOff>5953</xdr:rowOff>
    </xdr:from>
    <xdr:to>
      <xdr:col>53</xdr:col>
      <xdr:colOff>95250</xdr:colOff>
      <xdr:row>44</xdr:row>
      <xdr:rowOff>7541</xdr:rowOff>
    </xdr:to>
    <xdr:cxnSp macro="">
      <xdr:nvCxnSpPr>
        <xdr:cNvPr id="26" name="Connecteur droit 25"/>
        <xdr:cNvCxnSpPr/>
      </xdr:nvCxnSpPr>
      <xdr:spPr>
        <a:xfrm>
          <a:off x="5459016" y="7090172"/>
          <a:ext cx="101203" cy="1588"/>
        </a:xfrm>
        <a:prstGeom prst="line">
          <a:avLst/>
        </a:prstGeom>
        <a:ln w="127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0</xdr:rowOff>
    </xdr:from>
    <xdr:to>
      <xdr:col>2</xdr:col>
      <xdr:colOff>3914775</xdr:colOff>
      <xdr:row>8</xdr:row>
      <xdr:rowOff>161925</xdr:rowOff>
    </xdr:to>
    <xdr:pic>
      <xdr:nvPicPr>
        <xdr:cNvPr id="4" name="Image 3" descr="comptafisc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" y="0"/>
          <a:ext cx="5810250" cy="1685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eb.facebook.com/profile.php?id=61574198014292" TargetMode="External"/><Relationship Id="rId2" Type="http://schemas.openxmlformats.org/officeDocument/2006/relationships/hyperlink" Target="https://www.youtube.com/@compta-fisco" TargetMode="External"/><Relationship Id="rId1" Type="http://schemas.openxmlformats.org/officeDocument/2006/relationships/hyperlink" Target="https://web.facebook.com/comptable.qualifie" TargetMode="Externa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Q57"/>
  <sheetViews>
    <sheetView view="pageLayout" workbookViewId="0">
      <selection activeCell="BX50" sqref="BX50:CP50"/>
    </sheetView>
  </sheetViews>
  <sheetFormatPr baseColWidth="10" defaultRowHeight="12"/>
  <cols>
    <col min="1" max="34" width="1.42578125" style="2" customWidth="1"/>
    <col min="35" max="69" width="1.5703125" style="2" customWidth="1"/>
    <col min="70" max="85" width="1.42578125" style="2" customWidth="1"/>
    <col min="86" max="94" width="1" style="2" customWidth="1"/>
    <col min="95" max="95" width="1" style="2" hidden="1" customWidth="1"/>
    <col min="96" max="99" width="1" style="2" customWidth="1"/>
    <col min="100" max="111" width="1.42578125" style="2" customWidth="1"/>
    <col min="112" max="16384" width="11.42578125" style="2"/>
  </cols>
  <sheetData>
    <row r="1" spans="1:95" ht="6" customHeight="1"/>
    <row r="2" spans="1:95" ht="6" customHeight="1">
      <c r="AI2" s="94" t="s">
        <v>32</v>
      </c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  <c r="BM2" s="95"/>
      <c r="BN2" s="95"/>
      <c r="BO2" s="95"/>
      <c r="BP2" s="95"/>
      <c r="BQ2" s="95"/>
      <c r="BR2" s="95"/>
      <c r="BS2" s="95"/>
      <c r="BT2" s="95"/>
      <c r="BU2" s="96"/>
      <c r="BV2" s="12"/>
    </row>
    <row r="3" spans="1:95" ht="12" customHeight="1">
      <c r="A3" s="1"/>
      <c r="B3" s="1"/>
      <c r="C3" s="1"/>
      <c r="D3" s="1"/>
      <c r="E3" s="118" t="s">
        <v>3</v>
      </c>
      <c r="F3" s="118"/>
      <c r="G3" s="118"/>
      <c r="H3" s="118"/>
      <c r="I3" s="118"/>
      <c r="J3" s="118"/>
      <c r="K3" s="118"/>
      <c r="L3" s="118"/>
      <c r="M3" s="118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 t="s">
        <v>0</v>
      </c>
      <c r="AE3" s="136"/>
      <c r="AF3" s="136"/>
      <c r="AI3" s="97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9"/>
      <c r="BV3" s="12"/>
      <c r="CD3" s="117" t="s">
        <v>31</v>
      </c>
      <c r="CE3" s="117"/>
      <c r="CF3" s="117"/>
      <c r="CG3" s="117"/>
      <c r="CH3" s="117"/>
      <c r="CI3" s="117"/>
      <c r="CJ3" s="117"/>
      <c r="CK3" s="117"/>
      <c r="CL3" s="117"/>
      <c r="CM3" s="117"/>
    </row>
    <row r="4" spans="1:95" ht="9" customHeight="1">
      <c r="A4" s="1"/>
      <c r="B4" s="118" t="s">
        <v>4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 t="s">
        <v>1</v>
      </c>
      <c r="AE4" s="136"/>
      <c r="AF4" s="136"/>
      <c r="AI4" s="100" t="s">
        <v>33</v>
      </c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1"/>
      <c r="BS4" s="101"/>
      <c r="BT4" s="101"/>
      <c r="BU4" s="102"/>
      <c r="BV4" s="12"/>
    </row>
    <row r="5" spans="1:95" ht="9" customHeight="1">
      <c r="G5" s="7"/>
      <c r="H5" s="7"/>
      <c r="I5" s="7"/>
      <c r="J5" s="7"/>
      <c r="K5" s="7"/>
      <c r="L5" s="7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 t="s">
        <v>2</v>
      </c>
      <c r="AE5" s="136"/>
      <c r="AF5" s="136"/>
      <c r="AI5" s="100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  <c r="BM5" s="101"/>
      <c r="BN5" s="101"/>
      <c r="BO5" s="101"/>
      <c r="BP5" s="101"/>
      <c r="BQ5" s="101"/>
      <c r="BR5" s="101"/>
      <c r="BS5" s="101"/>
      <c r="BT5" s="101"/>
      <c r="BU5" s="102"/>
      <c r="BV5" s="12"/>
      <c r="BY5" s="110" t="s">
        <v>28</v>
      </c>
      <c r="BZ5" s="111"/>
      <c r="CA5" s="111"/>
      <c r="CB5" s="111"/>
      <c r="CC5" s="111"/>
      <c r="CD5" s="111"/>
      <c r="CE5" s="111"/>
      <c r="CF5" s="111"/>
      <c r="CG5" s="111"/>
      <c r="CH5" s="111"/>
      <c r="CI5" s="111"/>
      <c r="CJ5" s="111"/>
      <c r="CK5" s="111"/>
      <c r="CL5" s="111"/>
      <c r="CM5" s="111"/>
      <c r="CN5" s="111"/>
      <c r="CO5" s="111"/>
      <c r="CP5" s="11"/>
      <c r="CQ5" s="12"/>
    </row>
    <row r="6" spans="1:95" ht="9.75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18" t="s">
        <v>5</v>
      </c>
      <c r="O6" s="118"/>
      <c r="P6" s="118"/>
      <c r="T6" s="136"/>
      <c r="U6" s="136"/>
      <c r="V6" s="136"/>
      <c r="W6" s="136"/>
      <c r="X6" s="136"/>
      <c r="Y6" s="3"/>
      <c r="Z6" s="3"/>
      <c r="AA6" s="3"/>
      <c r="AB6" s="3"/>
      <c r="AC6" s="3"/>
      <c r="AD6" s="3"/>
      <c r="AE6" s="3"/>
      <c r="AF6" s="3"/>
      <c r="AI6" s="103" t="s">
        <v>34</v>
      </c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5"/>
      <c r="BV6" s="12"/>
      <c r="BY6" s="112" t="s">
        <v>29</v>
      </c>
      <c r="BZ6" s="113"/>
      <c r="CA6" s="113"/>
      <c r="CB6" s="113"/>
      <c r="CC6" s="113"/>
      <c r="CD6" s="113"/>
      <c r="CE6" s="113"/>
      <c r="CF6" s="113"/>
      <c r="CG6" s="113"/>
      <c r="CH6" s="113"/>
      <c r="CI6" s="113"/>
      <c r="CJ6" s="113"/>
      <c r="CK6" s="113"/>
      <c r="CL6" s="113"/>
      <c r="CM6" s="113"/>
      <c r="CN6" s="113"/>
      <c r="CO6" s="113"/>
      <c r="CP6" s="13"/>
      <c r="CQ6" s="12"/>
    </row>
    <row r="7" spans="1:95" ht="15.75">
      <c r="C7" s="136" t="s">
        <v>6</v>
      </c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T7" s="136"/>
      <c r="U7" s="136"/>
      <c r="V7" s="136"/>
      <c r="W7" s="136"/>
      <c r="X7" s="136"/>
      <c r="AI7" s="103" t="s">
        <v>35</v>
      </c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4"/>
      <c r="BP7" s="104"/>
      <c r="BQ7" s="104"/>
      <c r="BR7" s="104"/>
      <c r="BS7" s="104"/>
      <c r="BT7" s="104"/>
      <c r="BU7" s="105"/>
      <c r="BV7" s="12"/>
      <c r="BY7" s="112" t="s">
        <v>30</v>
      </c>
      <c r="BZ7" s="113"/>
      <c r="CA7" s="113"/>
      <c r="CB7" s="113"/>
      <c r="CC7" s="113"/>
      <c r="CD7" s="113"/>
      <c r="CE7" s="113"/>
      <c r="CF7" s="113"/>
      <c r="CG7" s="113"/>
      <c r="CH7" s="113"/>
      <c r="CI7" s="113"/>
      <c r="CJ7" s="113"/>
      <c r="CK7" s="113"/>
      <c r="CL7" s="113"/>
      <c r="CM7" s="113"/>
      <c r="CN7" s="113"/>
      <c r="CO7" s="113"/>
      <c r="CP7" s="5"/>
      <c r="CQ7" s="4"/>
    </row>
    <row r="8" spans="1:95" ht="3.75" customHeight="1">
      <c r="G8" s="7"/>
      <c r="H8" s="7"/>
      <c r="I8" s="7"/>
      <c r="J8" s="7"/>
      <c r="K8" s="7"/>
      <c r="L8" s="7"/>
      <c r="AI8" s="106" t="s">
        <v>36</v>
      </c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8"/>
      <c r="BV8" s="12"/>
      <c r="BY8" s="114" t="s">
        <v>24</v>
      </c>
      <c r="BZ8" s="115"/>
      <c r="CA8" s="115"/>
      <c r="CB8" s="115"/>
      <c r="CC8" s="115"/>
      <c r="CD8" s="115"/>
      <c r="CE8" s="115"/>
      <c r="CF8" s="115"/>
      <c r="CG8" s="115"/>
      <c r="CH8" s="115"/>
      <c r="CI8" s="115"/>
      <c r="CJ8" s="115"/>
      <c r="CK8" s="115"/>
      <c r="CL8" s="115"/>
      <c r="CM8" s="115"/>
      <c r="CN8" s="115"/>
      <c r="CO8" s="115"/>
      <c r="CP8" s="5"/>
      <c r="CQ8" s="4"/>
    </row>
    <row r="9" spans="1:95" ht="9.75" customHeight="1">
      <c r="K9" s="144" t="s">
        <v>7</v>
      </c>
      <c r="L9" s="144"/>
      <c r="M9" s="144"/>
      <c r="N9" s="144"/>
      <c r="O9" s="144"/>
      <c r="P9" s="144"/>
      <c r="Q9" s="144"/>
      <c r="R9" s="144"/>
      <c r="AI9" s="106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8"/>
      <c r="BV9" s="12"/>
      <c r="BY9" s="114"/>
      <c r="BZ9" s="115"/>
      <c r="CA9" s="115"/>
      <c r="CB9" s="115"/>
      <c r="CC9" s="115"/>
      <c r="CD9" s="115"/>
      <c r="CE9" s="115"/>
      <c r="CF9" s="115"/>
      <c r="CG9" s="115"/>
      <c r="CH9" s="115"/>
      <c r="CI9" s="115"/>
      <c r="CJ9" s="115"/>
      <c r="CK9" s="115"/>
      <c r="CL9" s="115"/>
      <c r="CM9" s="115"/>
      <c r="CN9" s="115"/>
      <c r="CO9" s="115"/>
      <c r="CP9" s="5"/>
      <c r="CQ9" s="4"/>
    </row>
    <row r="10" spans="1:95" ht="5.25" customHeight="1">
      <c r="B10" s="136" t="s">
        <v>8</v>
      </c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44"/>
      <c r="P10" s="144"/>
      <c r="Q10" s="144"/>
      <c r="R10" s="144"/>
      <c r="AI10" s="14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6"/>
      <c r="BV10" s="12"/>
      <c r="BY10" s="114" t="s">
        <v>25</v>
      </c>
      <c r="BZ10" s="115"/>
      <c r="CA10" s="115"/>
      <c r="CB10" s="115"/>
      <c r="CC10" s="115"/>
      <c r="CD10" s="115"/>
      <c r="CE10" s="115"/>
      <c r="CF10" s="115"/>
      <c r="CG10" s="115"/>
      <c r="CH10" s="115"/>
      <c r="CI10" s="115"/>
      <c r="CJ10" s="115"/>
      <c r="CK10" s="115"/>
      <c r="CL10" s="115"/>
      <c r="CM10" s="115"/>
      <c r="CN10" s="115"/>
      <c r="CO10" s="115"/>
      <c r="CP10" s="5"/>
      <c r="CQ10" s="4"/>
    </row>
    <row r="11" spans="1:95" ht="5.25" customHeight="1"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44"/>
      <c r="P11" s="144"/>
      <c r="Q11" s="144"/>
      <c r="R11" s="144"/>
      <c r="T11" s="145" t="s">
        <v>18</v>
      </c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7"/>
      <c r="BY11" s="114"/>
      <c r="BZ11" s="115"/>
      <c r="CA11" s="115"/>
      <c r="CB11" s="115"/>
      <c r="CC11" s="115"/>
      <c r="CD11" s="115"/>
      <c r="CE11" s="115"/>
      <c r="CF11" s="115"/>
      <c r="CG11" s="115"/>
      <c r="CH11" s="115"/>
      <c r="CI11" s="115"/>
      <c r="CJ11" s="115"/>
      <c r="CK11" s="115"/>
      <c r="CL11" s="115"/>
      <c r="CM11" s="115"/>
      <c r="CN11" s="115"/>
      <c r="CO11" s="115"/>
      <c r="CP11" s="5"/>
      <c r="CQ11" s="4"/>
    </row>
    <row r="12" spans="1:95" ht="3" customHeight="1">
      <c r="F12" s="7"/>
      <c r="G12" s="7"/>
      <c r="H12" s="7"/>
      <c r="I12" s="7"/>
      <c r="J12" s="7"/>
      <c r="K12" s="7"/>
      <c r="T12" s="148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50"/>
      <c r="BY12" s="114" t="s">
        <v>27</v>
      </c>
      <c r="BZ12" s="115"/>
      <c r="CA12" s="115"/>
      <c r="CB12" s="115"/>
      <c r="CC12" s="115"/>
      <c r="CD12" s="115"/>
      <c r="CE12" s="115"/>
      <c r="CF12" s="115"/>
      <c r="CG12" s="115"/>
      <c r="CH12" s="115"/>
      <c r="CI12" s="115"/>
      <c r="CJ12" s="115"/>
      <c r="CK12" s="115"/>
      <c r="CL12" s="115"/>
      <c r="CM12" s="115"/>
      <c r="CN12" s="115"/>
      <c r="CO12" s="115"/>
      <c r="CP12" s="5"/>
      <c r="CQ12" s="4"/>
    </row>
    <row r="13" spans="1:95" ht="9.75" customHeight="1">
      <c r="F13" s="136" t="s">
        <v>9</v>
      </c>
      <c r="G13" s="136"/>
      <c r="H13" s="136"/>
      <c r="I13" s="136"/>
      <c r="J13" s="136"/>
      <c r="K13" s="136"/>
      <c r="L13" s="136"/>
      <c r="T13" s="148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50"/>
      <c r="BV13" s="4"/>
      <c r="BY13" s="114"/>
      <c r="BZ13" s="115"/>
      <c r="CA13" s="115"/>
      <c r="CB13" s="115"/>
      <c r="CC13" s="115"/>
      <c r="CD13" s="115"/>
      <c r="CE13" s="115"/>
      <c r="CF13" s="115"/>
      <c r="CG13" s="115"/>
      <c r="CH13" s="115"/>
      <c r="CI13" s="115"/>
      <c r="CJ13" s="115"/>
      <c r="CK13" s="115"/>
      <c r="CL13" s="115"/>
      <c r="CM13" s="115"/>
      <c r="CN13" s="115"/>
      <c r="CO13" s="115"/>
      <c r="CP13" s="5"/>
      <c r="CQ13" s="4"/>
    </row>
    <row r="14" spans="1:95" ht="11.25" customHeight="1">
      <c r="B14" s="136" t="s">
        <v>10</v>
      </c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T14" s="140" t="s">
        <v>19</v>
      </c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2"/>
      <c r="AI14" s="169" t="s">
        <v>38</v>
      </c>
      <c r="AJ14" s="170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165" t="s">
        <v>37</v>
      </c>
      <c r="BR14" s="165"/>
      <c r="BS14" s="165"/>
      <c r="BT14" s="165"/>
      <c r="BU14" s="166"/>
      <c r="BV14" s="4"/>
      <c r="BW14" s="4"/>
      <c r="BY14" s="116" t="s">
        <v>26</v>
      </c>
      <c r="BZ14" s="115"/>
      <c r="CA14" s="115"/>
      <c r="CB14" s="115"/>
      <c r="CC14" s="115"/>
      <c r="CD14" s="115"/>
      <c r="CE14" s="115"/>
      <c r="CF14" s="115"/>
      <c r="CG14" s="115"/>
      <c r="CH14" s="115"/>
      <c r="CI14" s="115"/>
      <c r="CJ14" s="115"/>
      <c r="CK14" s="115"/>
      <c r="CL14" s="115"/>
      <c r="CM14" s="115"/>
      <c r="CN14" s="115"/>
      <c r="CO14" s="115"/>
      <c r="CP14" s="5"/>
      <c r="CQ14" s="4"/>
    </row>
    <row r="15" spans="1:95" ht="3" customHeight="1">
      <c r="G15" s="7"/>
      <c r="H15" s="7"/>
      <c r="I15" s="7"/>
      <c r="J15" s="7"/>
      <c r="K15" s="7"/>
      <c r="L15" s="7"/>
      <c r="T15" s="140" t="s">
        <v>20</v>
      </c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2"/>
      <c r="AI15" s="171"/>
      <c r="AJ15" s="172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6"/>
      <c r="BF15" s="86"/>
      <c r="BG15" s="86"/>
      <c r="BH15" s="86"/>
      <c r="BI15" s="86"/>
      <c r="BJ15" s="86"/>
      <c r="BK15" s="86"/>
      <c r="BL15" s="86"/>
      <c r="BM15" s="86"/>
      <c r="BN15" s="86"/>
      <c r="BO15" s="86"/>
      <c r="BP15" s="86"/>
      <c r="BQ15" s="167"/>
      <c r="BR15" s="167"/>
      <c r="BS15" s="167"/>
      <c r="BT15" s="167"/>
      <c r="BU15" s="168"/>
      <c r="BV15" s="4"/>
      <c r="BW15" s="4"/>
      <c r="BY15" s="6"/>
      <c r="BZ15" s="7"/>
      <c r="CA15" s="7"/>
      <c r="CB15" s="7"/>
      <c r="CC15" s="7"/>
      <c r="CD15" s="7"/>
      <c r="CE15" s="1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8"/>
      <c r="CQ15" s="4"/>
    </row>
    <row r="16" spans="1:95" ht="6.75" customHeight="1">
      <c r="B16" s="143" t="s">
        <v>11</v>
      </c>
      <c r="C16" s="143"/>
      <c r="D16" s="143"/>
      <c r="E16" s="143"/>
      <c r="F16" s="143"/>
      <c r="G16" s="143"/>
      <c r="H16" s="136"/>
      <c r="I16" s="136"/>
      <c r="J16" s="136"/>
      <c r="K16" s="136"/>
      <c r="L16" s="136"/>
      <c r="M16" s="136"/>
      <c r="N16" s="136"/>
      <c r="O16" s="136" t="s">
        <v>12</v>
      </c>
      <c r="P16" s="136"/>
      <c r="Q16" s="136"/>
      <c r="T16" s="151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3"/>
      <c r="AI16" s="171"/>
      <c r="AJ16" s="172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6"/>
      <c r="BF16" s="86"/>
      <c r="BG16" s="86"/>
      <c r="BH16" s="86"/>
      <c r="BI16" s="86"/>
      <c r="BJ16" s="86"/>
      <c r="BK16" s="86"/>
      <c r="BL16" s="86"/>
      <c r="BM16" s="86"/>
      <c r="BN16" s="86"/>
      <c r="BO16" s="86"/>
      <c r="BP16" s="86"/>
      <c r="BQ16" s="167"/>
      <c r="BR16" s="167"/>
      <c r="BS16" s="167"/>
      <c r="BT16" s="167"/>
      <c r="BU16" s="168"/>
      <c r="BV16" s="4"/>
      <c r="BW16" s="4"/>
    </row>
    <row r="17" spans="1:95" ht="3.75" customHeight="1">
      <c r="B17" s="143"/>
      <c r="C17" s="143"/>
      <c r="D17" s="143"/>
      <c r="E17" s="143"/>
      <c r="F17" s="143"/>
      <c r="G17" s="143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AI17" s="156" t="s">
        <v>39</v>
      </c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  <c r="BI17" s="157"/>
      <c r="BJ17" s="157"/>
      <c r="BK17" s="157"/>
      <c r="BL17" s="157"/>
      <c r="BM17" s="157"/>
      <c r="BN17" s="157"/>
      <c r="BO17" s="157"/>
      <c r="BP17" s="157"/>
      <c r="BQ17" s="157"/>
      <c r="BR17" s="157"/>
      <c r="BS17" s="157"/>
      <c r="BT17" s="157"/>
      <c r="BU17" s="158"/>
      <c r="BV17" s="4"/>
      <c r="BW17" s="4"/>
      <c r="CC17" s="118" t="s">
        <v>21</v>
      </c>
      <c r="CD17" s="118"/>
      <c r="CE17" s="118"/>
      <c r="CF17" s="118"/>
      <c r="CG17" s="118"/>
      <c r="CH17" s="118"/>
      <c r="CI17" s="118"/>
    </row>
    <row r="18" spans="1:95" ht="5.25" customHeight="1">
      <c r="G18" s="7"/>
      <c r="H18" s="7"/>
      <c r="I18" s="7"/>
      <c r="J18" s="7"/>
      <c r="K18" s="7"/>
      <c r="L18" s="7"/>
      <c r="AI18" s="159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  <c r="AX18" s="160"/>
      <c r="AY18" s="160"/>
      <c r="AZ18" s="160"/>
      <c r="BA18" s="160"/>
      <c r="BB18" s="160"/>
      <c r="BC18" s="160"/>
      <c r="BD18" s="160"/>
      <c r="BE18" s="160"/>
      <c r="BF18" s="160"/>
      <c r="BG18" s="160"/>
      <c r="BH18" s="160"/>
      <c r="BI18" s="160"/>
      <c r="BJ18" s="160"/>
      <c r="BK18" s="160"/>
      <c r="BL18" s="160"/>
      <c r="BM18" s="160"/>
      <c r="BN18" s="160"/>
      <c r="BO18" s="160"/>
      <c r="BP18" s="160"/>
      <c r="BQ18" s="160"/>
      <c r="BR18" s="160"/>
      <c r="BS18" s="160"/>
      <c r="BT18" s="160"/>
      <c r="BU18" s="161"/>
      <c r="BV18" s="4"/>
      <c r="BW18" s="4"/>
      <c r="CC18" s="118"/>
      <c r="CD18" s="118"/>
      <c r="CE18" s="118"/>
      <c r="CF18" s="118"/>
      <c r="CG18" s="118"/>
      <c r="CH18" s="118"/>
      <c r="CI18" s="118"/>
    </row>
    <row r="19" spans="1:95" ht="6.75" customHeight="1"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AI19" s="162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/>
      <c r="AT19" s="163"/>
      <c r="AU19" s="163"/>
      <c r="AV19" s="163"/>
      <c r="AW19" s="163"/>
      <c r="AX19" s="163"/>
      <c r="AY19" s="163"/>
      <c r="AZ19" s="163"/>
      <c r="BA19" s="163"/>
      <c r="BB19" s="163"/>
      <c r="BC19" s="163"/>
      <c r="BD19" s="163"/>
      <c r="BE19" s="163"/>
      <c r="BF19" s="163"/>
      <c r="BG19" s="163"/>
      <c r="BH19" s="163"/>
      <c r="BI19" s="163"/>
      <c r="BJ19" s="163"/>
      <c r="BK19" s="163"/>
      <c r="BL19" s="163"/>
      <c r="BM19" s="163"/>
      <c r="BN19" s="163"/>
      <c r="BO19" s="163"/>
      <c r="BP19" s="163"/>
      <c r="BQ19" s="163"/>
      <c r="BR19" s="163"/>
      <c r="BS19" s="163"/>
      <c r="BT19" s="163"/>
      <c r="BU19" s="164"/>
      <c r="BV19" s="4"/>
      <c r="BW19" s="4"/>
      <c r="CB19" s="119" t="s">
        <v>22</v>
      </c>
      <c r="CC19" s="119"/>
      <c r="CD19" s="119"/>
      <c r="CE19" s="119"/>
      <c r="CF19" s="119"/>
      <c r="CG19" s="119"/>
      <c r="CH19" s="119"/>
      <c r="CI19" s="119"/>
      <c r="CJ19" s="119"/>
      <c r="CK19" s="119"/>
    </row>
    <row r="20" spans="1:95" ht="9" customHeight="1">
      <c r="A20" s="154" t="s">
        <v>13</v>
      </c>
      <c r="B20" s="154"/>
      <c r="C20" s="154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AI20" s="130" t="s">
        <v>41</v>
      </c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31"/>
      <c r="BB20" s="131"/>
      <c r="BC20" s="131"/>
      <c r="BD20" s="131"/>
      <c r="BE20" s="131"/>
      <c r="BF20" s="131"/>
      <c r="BG20" s="131"/>
      <c r="BH20" s="131"/>
      <c r="BI20" s="131"/>
      <c r="BJ20" s="131"/>
      <c r="BK20" s="131"/>
      <c r="BL20" s="131"/>
      <c r="BM20" s="131"/>
      <c r="BN20" s="131"/>
      <c r="BO20" s="131" t="s">
        <v>42</v>
      </c>
      <c r="BP20" s="131"/>
      <c r="BQ20" s="131"/>
      <c r="BR20" s="131"/>
      <c r="BS20" s="131"/>
      <c r="BT20" s="131"/>
      <c r="BU20" s="134"/>
      <c r="BV20" s="4"/>
      <c r="BW20" s="4"/>
      <c r="CB20" s="119"/>
      <c r="CC20" s="119"/>
      <c r="CD20" s="119"/>
      <c r="CE20" s="119"/>
      <c r="CF20" s="119"/>
      <c r="CG20" s="119"/>
      <c r="CH20" s="119"/>
      <c r="CI20" s="119"/>
      <c r="CJ20" s="119"/>
      <c r="CK20" s="119"/>
    </row>
    <row r="21" spans="1:95" ht="9" customHeight="1">
      <c r="A21" s="10"/>
      <c r="B21" s="10"/>
      <c r="C21" s="10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AI21" s="132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3"/>
      <c r="BF21" s="133"/>
      <c r="BG21" s="133"/>
      <c r="BH21" s="133"/>
      <c r="BI21" s="133"/>
      <c r="BJ21" s="133"/>
      <c r="BK21" s="133"/>
      <c r="BL21" s="133"/>
      <c r="BM21" s="133"/>
      <c r="BN21" s="133"/>
      <c r="BO21" s="133"/>
      <c r="BP21" s="133"/>
      <c r="BQ21" s="133"/>
      <c r="BR21" s="133"/>
      <c r="BS21" s="133"/>
      <c r="BT21" s="133"/>
      <c r="BU21" s="135"/>
      <c r="BV21" s="4"/>
      <c r="BW21" s="4"/>
      <c r="CB21" s="120"/>
      <c r="CC21" s="121"/>
      <c r="CD21" s="122"/>
      <c r="CE21" s="121"/>
      <c r="CF21" s="121"/>
      <c r="CG21" s="121"/>
      <c r="CH21" s="120"/>
      <c r="CI21" s="121"/>
      <c r="CJ21" s="121"/>
      <c r="CK21" s="122"/>
    </row>
    <row r="22" spans="1:95" ht="9" customHeight="1">
      <c r="A22" s="154" t="s">
        <v>14</v>
      </c>
      <c r="B22" s="154"/>
      <c r="C22" s="155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T22" s="9"/>
      <c r="U22" s="9"/>
      <c r="V22" s="9"/>
      <c r="W22" s="9"/>
      <c r="AE22" s="136" t="s">
        <v>15</v>
      </c>
      <c r="AF22" s="136" t="s">
        <v>16</v>
      </c>
      <c r="AI22" s="123" t="s">
        <v>40</v>
      </c>
      <c r="AJ22" s="124"/>
      <c r="AK22" s="124"/>
      <c r="AL22" s="124"/>
      <c r="AM22" s="124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6"/>
      <c r="BK22" s="86"/>
      <c r="BL22" s="86"/>
      <c r="BM22" s="86"/>
      <c r="BN22" s="86"/>
      <c r="BO22" s="86"/>
      <c r="BP22" s="86"/>
      <c r="BQ22" s="86"/>
      <c r="BR22" s="86"/>
      <c r="BS22" s="86"/>
      <c r="BT22" s="86"/>
      <c r="BU22" s="127"/>
      <c r="BV22" s="4"/>
      <c r="BW22" s="4"/>
    </row>
    <row r="23" spans="1:95" ht="4.5" customHeight="1">
      <c r="AE23" s="136"/>
      <c r="AF23" s="136"/>
      <c r="AI23" s="123"/>
      <c r="AJ23" s="124"/>
      <c r="AK23" s="124"/>
      <c r="AL23" s="124"/>
      <c r="AM23" s="124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6"/>
      <c r="BM23" s="86"/>
      <c r="BN23" s="86"/>
      <c r="BO23" s="86"/>
      <c r="BP23" s="86"/>
      <c r="BQ23" s="86"/>
      <c r="BR23" s="86"/>
      <c r="BS23" s="86"/>
      <c r="BT23" s="86"/>
      <c r="BU23" s="127"/>
      <c r="BV23" s="4"/>
      <c r="BW23" s="4"/>
      <c r="CI23" s="109" t="s">
        <v>23</v>
      </c>
      <c r="CJ23" s="109"/>
      <c r="CK23" s="109"/>
      <c r="CL23" s="109"/>
      <c r="CM23" s="109"/>
      <c r="CN23" s="109"/>
      <c r="CO23" s="109"/>
    </row>
    <row r="24" spans="1:95" ht="3.75" customHeight="1"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AE24" s="139"/>
      <c r="AF24" s="139"/>
      <c r="AI24" s="125"/>
      <c r="AJ24" s="126"/>
      <c r="AK24" s="126"/>
      <c r="AL24" s="126"/>
      <c r="AM24" s="126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9"/>
      <c r="BV24" s="4"/>
      <c r="BW24" s="4"/>
      <c r="CI24" s="109"/>
      <c r="CJ24" s="109"/>
      <c r="CK24" s="109"/>
      <c r="CL24" s="109"/>
      <c r="CM24" s="109"/>
      <c r="CN24" s="109"/>
      <c r="CO24" s="109"/>
    </row>
    <row r="25" spans="1:95" ht="3.75" customHeight="1">
      <c r="A25" s="143" t="s">
        <v>17</v>
      </c>
      <c r="B25" s="143"/>
      <c r="C25" s="143"/>
      <c r="D25" s="143"/>
      <c r="E25" s="143"/>
      <c r="F25" s="143"/>
      <c r="G25" s="143"/>
      <c r="H25" s="143"/>
      <c r="I25" s="143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AE25" s="137"/>
      <c r="AF25" s="137"/>
      <c r="BV25" s="4"/>
    </row>
    <row r="26" spans="1:95" ht="5.25" customHeight="1">
      <c r="A26" s="143"/>
      <c r="B26" s="143"/>
      <c r="C26" s="143"/>
      <c r="D26" s="143"/>
      <c r="E26" s="143"/>
      <c r="F26" s="143"/>
      <c r="G26" s="143"/>
      <c r="H26" s="143"/>
      <c r="I26" s="143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CB26" s="1"/>
      <c r="CC26" s="1"/>
      <c r="CD26" s="1"/>
      <c r="CE26" s="1"/>
      <c r="CF26" s="1"/>
      <c r="CG26" s="1"/>
      <c r="CH26" s="1"/>
    </row>
    <row r="27" spans="1:95" ht="3.75" customHeight="1">
      <c r="CB27" s="1"/>
      <c r="CC27" s="1"/>
      <c r="CD27" s="1"/>
      <c r="CE27" s="1"/>
      <c r="CF27" s="1"/>
      <c r="CG27" s="1"/>
      <c r="CH27" s="1"/>
    </row>
    <row r="28" spans="1:95" ht="13.5" customHeight="1">
      <c r="A28" s="87" t="s">
        <v>43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9" t="s">
        <v>44</v>
      </c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89"/>
      <c r="BL28" s="89"/>
      <c r="BM28" s="89"/>
      <c r="BN28" s="89"/>
      <c r="BO28" s="89"/>
      <c r="BP28" s="89"/>
      <c r="BQ28" s="89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89"/>
      <c r="CF28" s="89"/>
      <c r="CG28" s="89"/>
      <c r="CH28" s="89"/>
      <c r="CI28" s="89"/>
      <c r="CJ28" s="89"/>
      <c r="CK28" s="89"/>
      <c r="CL28" s="89"/>
      <c r="CM28" s="89"/>
      <c r="CN28" s="89"/>
      <c r="CO28" s="89"/>
      <c r="CP28" s="90"/>
      <c r="CQ28" s="50"/>
    </row>
    <row r="29" spans="1:95" ht="13.5" customHeight="1">
      <c r="A29" s="60" t="s">
        <v>45</v>
      </c>
      <c r="B29" s="61"/>
      <c r="C29" s="61"/>
      <c r="D29" s="61"/>
      <c r="E29" s="61"/>
      <c r="F29" s="62"/>
      <c r="G29" s="91" t="s">
        <v>47</v>
      </c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3"/>
      <c r="AK29" s="91" t="s">
        <v>48</v>
      </c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2"/>
      <c r="BF29" s="92"/>
      <c r="BG29" s="92"/>
      <c r="BH29" s="92"/>
      <c r="BI29" s="92"/>
      <c r="BJ29" s="92"/>
      <c r="BK29" s="92"/>
      <c r="BL29" s="92"/>
      <c r="BM29" s="92"/>
      <c r="BN29" s="92"/>
      <c r="BO29" s="92"/>
      <c r="BP29" s="92"/>
      <c r="BQ29" s="92"/>
      <c r="BR29" s="92"/>
      <c r="BS29" s="92"/>
      <c r="BT29" s="92"/>
      <c r="BU29" s="92"/>
      <c r="BV29" s="92"/>
      <c r="BW29" s="93"/>
      <c r="BX29" s="66" t="s">
        <v>49</v>
      </c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8"/>
      <c r="CQ29" s="51"/>
    </row>
    <row r="30" spans="1:95" ht="15" customHeight="1">
      <c r="A30" s="60" t="s">
        <v>50</v>
      </c>
      <c r="B30" s="61"/>
      <c r="C30" s="61"/>
      <c r="D30" s="61"/>
      <c r="E30" s="61"/>
      <c r="F30" s="62"/>
      <c r="G30" s="76" t="s">
        <v>56</v>
      </c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8"/>
      <c r="AK30" s="82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4"/>
      <c r="BX30" s="63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5"/>
      <c r="CQ30" s="52"/>
    </row>
    <row r="31" spans="1:95" ht="15">
      <c r="A31" s="60"/>
      <c r="B31" s="61"/>
      <c r="C31" s="61"/>
      <c r="D31" s="61"/>
      <c r="E31" s="61"/>
      <c r="F31" s="62"/>
      <c r="G31" s="76" t="s">
        <v>57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8"/>
      <c r="AK31" s="82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4"/>
      <c r="BX31" s="63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5"/>
      <c r="CQ31" s="52"/>
    </row>
    <row r="32" spans="1:95" ht="12.75" customHeight="1">
      <c r="A32" s="60"/>
      <c r="B32" s="61"/>
      <c r="C32" s="61"/>
      <c r="D32" s="61"/>
      <c r="E32" s="61"/>
      <c r="F32" s="62"/>
      <c r="G32" s="76" t="s">
        <v>58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8"/>
      <c r="AK32" s="82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4"/>
      <c r="BX32" s="63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5"/>
      <c r="CQ32" s="52"/>
    </row>
    <row r="33" spans="1:95" ht="13.5" customHeight="1">
      <c r="A33" s="60"/>
      <c r="B33" s="61"/>
      <c r="C33" s="61"/>
      <c r="D33" s="61"/>
      <c r="E33" s="61"/>
      <c r="F33" s="62"/>
      <c r="G33" s="76" t="s">
        <v>59</v>
      </c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8"/>
      <c r="AK33" s="82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4"/>
      <c r="BX33" s="63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5"/>
      <c r="CQ33" s="52"/>
    </row>
    <row r="34" spans="1:95" ht="13.5" customHeight="1">
      <c r="A34" s="60">
        <v>1</v>
      </c>
      <c r="B34" s="61"/>
      <c r="C34" s="61"/>
      <c r="D34" s="62"/>
      <c r="E34" s="69" t="s">
        <v>69</v>
      </c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1"/>
      <c r="BX34" s="63">
        <f>SUM(BX30:CP33)</f>
        <v>0</v>
      </c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5"/>
      <c r="CQ34" s="52">
        <f>BX34</f>
        <v>0</v>
      </c>
    </row>
    <row r="35" spans="1:95" ht="3.75" customHeight="1"/>
    <row r="36" spans="1:95" ht="14.25" customHeight="1">
      <c r="A36" s="87" t="s">
        <v>60</v>
      </c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173" t="s">
        <v>61</v>
      </c>
      <c r="AY36" s="173"/>
      <c r="AZ36" s="173"/>
      <c r="BA36" s="173"/>
      <c r="BB36" s="173"/>
      <c r="BC36" s="173"/>
      <c r="BD36" s="173"/>
      <c r="BE36" s="173"/>
      <c r="BF36" s="173"/>
      <c r="BG36" s="173"/>
      <c r="BH36" s="173"/>
      <c r="BI36" s="173"/>
      <c r="BJ36" s="173"/>
      <c r="BK36" s="173"/>
      <c r="BL36" s="173"/>
      <c r="BM36" s="173"/>
      <c r="BN36" s="173"/>
      <c r="BO36" s="173"/>
      <c r="BP36" s="173"/>
      <c r="BQ36" s="173"/>
      <c r="BR36" s="173"/>
      <c r="BS36" s="173"/>
      <c r="BT36" s="173"/>
      <c r="BU36" s="173"/>
      <c r="BV36" s="173"/>
      <c r="BW36" s="173"/>
      <c r="BX36" s="173"/>
      <c r="BY36" s="173"/>
      <c r="BZ36" s="173"/>
      <c r="CA36" s="173"/>
      <c r="CB36" s="173"/>
      <c r="CC36" s="173"/>
      <c r="CD36" s="173"/>
      <c r="CE36" s="173"/>
      <c r="CF36" s="173"/>
      <c r="CG36" s="173"/>
      <c r="CH36" s="173"/>
      <c r="CI36" s="173"/>
      <c r="CJ36" s="173"/>
      <c r="CK36" s="173"/>
      <c r="CL36" s="173"/>
      <c r="CM36" s="173"/>
      <c r="CN36" s="173"/>
      <c r="CO36" s="173"/>
      <c r="CP36" s="174"/>
      <c r="CQ36" s="31"/>
    </row>
    <row r="37" spans="1:95" ht="15.75" customHeight="1">
      <c r="A37" s="60" t="s">
        <v>45</v>
      </c>
      <c r="B37" s="61"/>
      <c r="C37" s="61"/>
      <c r="D37" s="61"/>
      <c r="E37" s="62"/>
      <c r="F37" s="76" t="s">
        <v>70</v>
      </c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60" t="s">
        <v>64</v>
      </c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2"/>
      <c r="BP37" s="60" t="s">
        <v>65</v>
      </c>
      <c r="BQ37" s="61"/>
      <c r="BR37" s="61"/>
      <c r="BS37" s="61"/>
      <c r="BT37" s="61"/>
      <c r="BU37" s="61"/>
      <c r="BV37" s="61"/>
      <c r="BW37" s="62"/>
      <c r="BX37" s="66" t="s">
        <v>49</v>
      </c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8"/>
      <c r="CQ37" s="51"/>
    </row>
    <row r="38" spans="1:95" ht="15" customHeight="1">
      <c r="A38" s="60" t="s">
        <v>62</v>
      </c>
      <c r="B38" s="61"/>
      <c r="C38" s="61"/>
      <c r="D38" s="61"/>
      <c r="E38" s="62"/>
      <c r="F38" s="73" t="s">
        <v>71</v>
      </c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5"/>
      <c r="AY38" s="82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4"/>
      <c r="BP38" s="60" t="s">
        <v>67</v>
      </c>
      <c r="BQ38" s="61"/>
      <c r="BR38" s="61"/>
      <c r="BS38" s="61"/>
      <c r="BT38" s="61"/>
      <c r="BU38" s="61"/>
      <c r="BV38" s="61"/>
      <c r="BW38" s="62"/>
      <c r="BX38" s="82"/>
      <c r="BY38" s="83"/>
      <c r="BZ38" s="83"/>
      <c r="CA38" s="83"/>
      <c r="CB38" s="83"/>
      <c r="CC38" s="83"/>
      <c r="CD38" s="83"/>
      <c r="CE38" s="83"/>
      <c r="CF38" s="83"/>
      <c r="CG38" s="83"/>
      <c r="CH38" s="83"/>
      <c r="CI38" s="83"/>
      <c r="CJ38" s="83"/>
      <c r="CK38" s="83"/>
      <c r="CL38" s="83"/>
      <c r="CM38" s="83"/>
      <c r="CN38" s="83"/>
      <c r="CO38" s="83"/>
      <c r="CP38" s="84"/>
      <c r="CQ38" s="53"/>
    </row>
    <row r="39" spans="1:95" ht="12.75" customHeight="1">
      <c r="A39" s="60" t="s">
        <v>63</v>
      </c>
      <c r="B39" s="61"/>
      <c r="C39" s="61"/>
      <c r="D39" s="61"/>
      <c r="E39" s="62"/>
      <c r="F39" s="73" t="s">
        <v>72</v>
      </c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5"/>
      <c r="AY39" s="82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4"/>
      <c r="BP39" s="60" t="s">
        <v>67</v>
      </c>
      <c r="BQ39" s="61"/>
      <c r="BR39" s="61"/>
      <c r="BS39" s="61"/>
      <c r="BT39" s="61"/>
      <c r="BU39" s="61"/>
      <c r="BV39" s="61"/>
      <c r="BW39" s="62"/>
      <c r="BX39" s="82"/>
      <c r="BY39" s="83"/>
      <c r="BZ39" s="83"/>
      <c r="CA39" s="83"/>
      <c r="CB39" s="83"/>
      <c r="CC39" s="83"/>
      <c r="CD39" s="83"/>
      <c r="CE39" s="83"/>
      <c r="CF39" s="83"/>
      <c r="CG39" s="83"/>
      <c r="CH39" s="83"/>
      <c r="CI39" s="83"/>
      <c r="CJ39" s="83"/>
      <c r="CK39" s="83"/>
      <c r="CL39" s="83"/>
      <c r="CM39" s="83"/>
      <c r="CN39" s="83"/>
      <c r="CO39" s="83"/>
      <c r="CP39" s="84"/>
      <c r="CQ39" s="53"/>
    </row>
    <row r="40" spans="1:95" ht="15">
      <c r="A40" s="60">
        <v>2</v>
      </c>
      <c r="B40" s="61"/>
      <c r="C40" s="61"/>
      <c r="D40" s="62"/>
      <c r="E40" s="73" t="s">
        <v>73</v>
      </c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5"/>
      <c r="AY40" s="69" t="s">
        <v>69</v>
      </c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  <c r="BM40" s="70"/>
      <c r="BN40" s="70"/>
      <c r="BO40" s="70"/>
      <c r="BP40" s="70"/>
      <c r="BQ40" s="70"/>
      <c r="BR40" s="70"/>
      <c r="BS40" s="70"/>
      <c r="BT40" s="70"/>
      <c r="BU40" s="70"/>
      <c r="BV40" s="70"/>
      <c r="BW40" s="71"/>
      <c r="BX40" s="63">
        <f>SUM(BX38:CP39)</f>
        <v>0</v>
      </c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5"/>
      <c r="CQ40" s="52">
        <f>BX40</f>
        <v>0</v>
      </c>
    </row>
    <row r="41" spans="1:95" ht="4.5" customHeight="1"/>
    <row r="42" spans="1:95" ht="12.75" customHeight="1">
      <c r="A42" s="87" t="s">
        <v>74</v>
      </c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178" t="s">
        <v>75</v>
      </c>
      <c r="AX42" s="178"/>
      <c r="AY42" s="178"/>
      <c r="AZ42" s="178"/>
      <c r="BA42" s="178"/>
      <c r="BB42" s="178"/>
      <c r="BC42" s="178"/>
      <c r="BD42" s="178"/>
      <c r="BE42" s="178"/>
      <c r="BF42" s="178"/>
      <c r="BG42" s="178"/>
      <c r="BH42" s="178"/>
      <c r="BI42" s="178"/>
      <c r="BJ42" s="178"/>
      <c r="BK42" s="178"/>
      <c r="BL42" s="178"/>
      <c r="BM42" s="178"/>
      <c r="BN42" s="178"/>
      <c r="BO42" s="178"/>
      <c r="BP42" s="178"/>
      <c r="BQ42" s="178"/>
      <c r="BR42" s="178"/>
      <c r="BS42" s="178"/>
      <c r="BT42" s="178"/>
      <c r="BU42" s="178"/>
      <c r="BV42" s="178"/>
      <c r="BW42" s="178"/>
      <c r="BX42" s="178"/>
      <c r="BY42" s="178"/>
      <c r="BZ42" s="178"/>
      <c r="CA42" s="178"/>
      <c r="CB42" s="178"/>
      <c r="CC42" s="178"/>
      <c r="CD42" s="178"/>
      <c r="CE42" s="178"/>
      <c r="CF42" s="178"/>
      <c r="CG42" s="178"/>
      <c r="CH42" s="178"/>
      <c r="CI42" s="178"/>
      <c r="CJ42" s="178"/>
      <c r="CK42" s="178"/>
      <c r="CL42" s="178"/>
      <c r="CM42" s="178"/>
      <c r="CN42" s="178"/>
      <c r="CO42" s="178"/>
      <c r="CP42" s="179"/>
      <c r="CQ42" s="54"/>
    </row>
    <row r="43" spans="1:95" ht="13.5" customHeight="1">
      <c r="A43" s="60" t="s">
        <v>45</v>
      </c>
      <c r="B43" s="61"/>
      <c r="C43" s="61"/>
      <c r="D43" s="61"/>
      <c r="E43" s="61"/>
      <c r="F43" s="62"/>
      <c r="G43" s="66" t="s">
        <v>76</v>
      </c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8"/>
      <c r="AK43" s="66" t="s">
        <v>46</v>
      </c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  <c r="BM43" s="67"/>
      <c r="BN43" s="67"/>
      <c r="BO43" s="67"/>
      <c r="BP43" s="67"/>
      <c r="BQ43" s="67"/>
      <c r="BR43" s="67"/>
      <c r="BS43" s="67"/>
      <c r="BT43" s="67"/>
      <c r="BU43" s="67"/>
      <c r="BV43" s="68"/>
      <c r="BW43" s="66" t="s">
        <v>49</v>
      </c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68"/>
      <c r="CQ43" s="51"/>
    </row>
    <row r="44" spans="1:95" ht="15" customHeight="1">
      <c r="A44" s="60"/>
      <c r="B44" s="61"/>
      <c r="C44" s="61"/>
      <c r="D44" s="61"/>
      <c r="E44" s="61"/>
      <c r="F44" s="62"/>
      <c r="G44" s="76" t="s">
        <v>77</v>
      </c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8"/>
      <c r="AK44" s="63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5"/>
      <c r="BW44" s="79"/>
      <c r="BX44" s="80"/>
      <c r="BY44" s="80"/>
      <c r="BZ44" s="80"/>
      <c r="CA44" s="80"/>
      <c r="CB44" s="80"/>
      <c r="CC44" s="80"/>
      <c r="CD44" s="80"/>
      <c r="CE44" s="80"/>
      <c r="CF44" s="80"/>
      <c r="CG44" s="80"/>
      <c r="CH44" s="80"/>
      <c r="CI44" s="80"/>
      <c r="CJ44" s="80"/>
      <c r="CK44" s="80"/>
      <c r="CL44" s="80"/>
      <c r="CM44" s="80"/>
      <c r="CN44" s="80"/>
      <c r="CO44" s="80"/>
      <c r="CP44" s="81"/>
      <c r="CQ44" s="55"/>
    </row>
    <row r="45" spans="1:95" ht="14.25" customHeight="1">
      <c r="A45" s="60"/>
      <c r="B45" s="61"/>
      <c r="C45" s="61"/>
      <c r="D45" s="61"/>
      <c r="E45" s="61"/>
      <c r="F45" s="62"/>
      <c r="G45" s="76" t="s">
        <v>78</v>
      </c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8"/>
      <c r="AK45" s="63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5"/>
      <c r="BW45" s="79"/>
      <c r="BX45" s="80"/>
      <c r="BY45" s="80"/>
      <c r="BZ45" s="80"/>
      <c r="CA45" s="80"/>
      <c r="CB45" s="80"/>
      <c r="CC45" s="80"/>
      <c r="CD45" s="80"/>
      <c r="CE45" s="80"/>
      <c r="CF45" s="80"/>
      <c r="CG45" s="80"/>
      <c r="CH45" s="80"/>
      <c r="CI45" s="80"/>
      <c r="CJ45" s="80"/>
      <c r="CK45" s="80"/>
      <c r="CL45" s="80"/>
      <c r="CM45" s="80"/>
      <c r="CN45" s="80"/>
      <c r="CO45" s="80"/>
      <c r="CP45" s="81"/>
      <c r="CQ45" s="55"/>
    </row>
    <row r="46" spans="1:95" ht="12.75" customHeight="1">
      <c r="A46" s="60">
        <v>3</v>
      </c>
      <c r="B46" s="61"/>
      <c r="C46" s="61"/>
      <c r="D46" s="62"/>
      <c r="E46" s="69" t="s">
        <v>79</v>
      </c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  <c r="BR46" s="70"/>
      <c r="BS46" s="70"/>
      <c r="BT46" s="70"/>
      <c r="BU46" s="70"/>
      <c r="BV46" s="71"/>
      <c r="BW46" s="63">
        <f>SUM(BW44:CP45)</f>
        <v>0</v>
      </c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5"/>
      <c r="CQ46" s="52">
        <f>BW46</f>
        <v>0</v>
      </c>
    </row>
    <row r="47" spans="1:95" ht="3.75" customHeight="1"/>
    <row r="48" spans="1:95" ht="12.75" customHeight="1">
      <c r="A48" s="180" t="s">
        <v>80</v>
      </c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181" t="s">
        <v>81</v>
      </c>
      <c r="AZ48" s="181"/>
      <c r="BA48" s="181"/>
      <c r="BB48" s="181"/>
      <c r="BC48" s="181"/>
      <c r="BD48" s="181"/>
      <c r="BE48" s="181"/>
      <c r="BF48" s="181"/>
      <c r="BG48" s="181"/>
      <c r="BH48" s="181"/>
      <c r="BI48" s="181"/>
      <c r="BJ48" s="181"/>
      <c r="BK48" s="181"/>
      <c r="BL48" s="181"/>
      <c r="BM48" s="181"/>
      <c r="BN48" s="181"/>
      <c r="BO48" s="181"/>
      <c r="BP48" s="181"/>
      <c r="BQ48" s="181"/>
      <c r="BR48" s="181"/>
      <c r="BS48" s="181"/>
      <c r="BT48" s="181"/>
      <c r="BU48" s="181"/>
      <c r="BV48" s="181"/>
      <c r="BW48" s="181"/>
      <c r="BX48" s="181"/>
      <c r="BY48" s="181"/>
      <c r="BZ48" s="181"/>
      <c r="CA48" s="181"/>
      <c r="CB48" s="181"/>
      <c r="CC48" s="181"/>
      <c r="CD48" s="181"/>
      <c r="CE48" s="181"/>
      <c r="CF48" s="181"/>
      <c r="CG48" s="181"/>
      <c r="CH48" s="181"/>
      <c r="CI48" s="181"/>
      <c r="CJ48" s="181"/>
      <c r="CK48" s="181"/>
      <c r="CL48" s="181"/>
      <c r="CM48" s="181"/>
      <c r="CN48" s="181"/>
      <c r="CO48" s="181"/>
      <c r="CP48" s="182"/>
      <c r="CQ48" s="56"/>
    </row>
    <row r="49" spans="1:95" ht="16.5" customHeight="1">
      <c r="A49" s="60" t="s">
        <v>45</v>
      </c>
      <c r="B49" s="61"/>
      <c r="C49" s="61"/>
      <c r="D49" s="61"/>
      <c r="E49" s="61"/>
      <c r="F49" s="62"/>
      <c r="G49" s="175" t="s">
        <v>82</v>
      </c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  <c r="AA49" s="176"/>
      <c r="AB49" s="176"/>
      <c r="AC49" s="176"/>
      <c r="AD49" s="176"/>
      <c r="AE49" s="176"/>
      <c r="AF49" s="176"/>
      <c r="AG49" s="176"/>
      <c r="AH49" s="176"/>
      <c r="AI49" s="176"/>
      <c r="AJ49" s="176"/>
      <c r="AK49" s="176"/>
      <c r="AL49" s="176"/>
      <c r="AM49" s="176"/>
      <c r="AN49" s="176"/>
      <c r="AO49" s="176"/>
      <c r="AP49" s="176"/>
      <c r="AQ49" s="176"/>
      <c r="AR49" s="176"/>
      <c r="AS49" s="176"/>
      <c r="AT49" s="176"/>
      <c r="AU49" s="176"/>
      <c r="AV49" s="176"/>
      <c r="AW49" s="176"/>
      <c r="AX49" s="177"/>
      <c r="AY49" s="60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2"/>
      <c r="BP49" s="60" t="s">
        <v>65</v>
      </c>
      <c r="BQ49" s="61"/>
      <c r="BR49" s="61"/>
      <c r="BS49" s="61"/>
      <c r="BT49" s="61"/>
      <c r="BU49" s="61"/>
      <c r="BV49" s="61"/>
      <c r="BW49" s="62"/>
      <c r="BX49" s="66" t="s">
        <v>49</v>
      </c>
      <c r="BY49" s="67"/>
      <c r="BZ49" s="67"/>
      <c r="CA49" s="67"/>
      <c r="CB49" s="67"/>
      <c r="CC49" s="67"/>
      <c r="CD49" s="67"/>
      <c r="CE49" s="67"/>
      <c r="CF49" s="67"/>
      <c r="CG49" s="67"/>
      <c r="CH49" s="67"/>
      <c r="CI49" s="67"/>
      <c r="CJ49" s="67"/>
      <c r="CK49" s="67"/>
      <c r="CL49" s="67"/>
      <c r="CM49" s="67"/>
      <c r="CN49" s="67"/>
      <c r="CO49" s="67"/>
      <c r="CP49" s="68"/>
      <c r="CQ49" s="51"/>
    </row>
    <row r="50" spans="1:95" ht="15" customHeight="1">
      <c r="A50" s="60" t="s">
        <v>51</v>
      </c>
      <c r="B50" s="61"/>
      <c r="C50" s="61"/>
      <c r="D50" s="61"/>
      <c r="E50" s="61"/>
      <c r="F50" s="62"/>
      <c r="G50" s="73" t="s">
        <v>83</v>
      </c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5"/>
      <c r="AY50" s="79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80"/>
      <c r="BM50" s="80"/>
      <c r="BN50" s="80"/>
      <c r="BO50" s="81"/>
      <c r="BP50" s="60" t="s">
        <v>66</v>
      </c>
      <c r="BQ50" s="61"/>
      <c r="BR50" s="61"/>
      <c r="BS50" s="61"/>
      <c r="BT50" s="61"/>
      <c r="BU50" s="61"/>
      <c r="BV50" s="61"/>
      <c r="BW50" s="62"/>
      <c r="BX50" s="63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O50" s="64"/>
      <c r="CP50" s="65"/>
      <c r="CQ50" s="52"/>
    </row>
    <row r="51" spans="1:95" ht="15">
      <c r="A51" s="60" t="s">
        <v>52</v>
      </c>
      <c r="B51" s="61"/>
      <c r="C51" s="61"/>
      <c r="D51" s="61"/>
      <c r="E51" s="61"/>
      <c r="F51" s="62"/>
      <c r="G51" s="73" t="s">
        <v>84</v>
      </c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5"/>
      <c r="AY51" s="79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0"/>
      <c r="BK51" s="80"/>
      <c r="BL51" s="80"/>
      <c r="BM51" s="80"/>
      <c r="BN51" s="80"/>
      <c r="BO51" s="81"/>
      <c r="BP51" s="72">
        <v>0.1</v>
      </c>
      <c r="BQ51" s="61"/>
      <c r="BR51" s="61"/>
      <c r="BS51" s="61"/>
      <c r="BT51" s="61"/>
      <c r="BU51" s="61"/>
      <c r="BV51" s="61"/>
      <c r="BW51" s="62"/>
      <c r="BX51" s="63">
        <f>AY51*BP51</f>
        <v>0</v>
      </c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O51" s="64"/>
      <c r="CP51" s="65"/>
      <c r="CQ51" s="52"/>
    </row>
    <row r="52" spans="1:95" ht="12.75" customHeight="1">
      <c r="A52" s="60" t="s">
        <v>53</v>
      </c>
      <c r="B52" s="61"/>
      <c r="C52" s="61"/>
      <c r="D52" s="61"/>
      <c r="E52" s="61"/>
      <c r="F52" s="62"/>
      <c r="G52" s="73" t="s">
        <v>85</v>
      </c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5"/>
      <c r="AY52" s="79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0"/>
      <c r="BN52" s="80"/>
      <c r="BO52" s="81"/>
      <c r="BP52" s="72">
        <v>0.15</v>
      </c>
      <c r="BQ52" s="61"/>
      <c r="BR52" s="61"/>
      <c r="BS52" s="61"/>
      <c r="BT52" s="61"/>
      <c r="BU52" s="61"/>
      <c r="BV52" s="61"/>
      <c r="BW52" s="62"/>
      <c r="BX52" s="63">
        <f>AY52*BP52</f>
        <v>0</v>
      </c>
      <c r="BY52" s="64"/>
      <c r="BZ52" s="64"/>
      <c r="CA52" s="64"/>
      <c r="CB52" s="64"/>
      <c r="CC52" s="64"/>
      <c r="CD52" s="64"/>
      <c r="CE52" s="64"/>
      <c r="CF52" s="64"/>
      <c r="CG52" s="64"/>
      <c r="CH52" s="64"/>
      <c r="CI52" s="64"/>
      <c r="CJ52" s="64"/>
      <c r="CK52" s="64"/>
      <c r="CL52" s="64"/>
      <c r="CM52" s="64"/>
      <c r="CN52" s="64"/>
      <c r="CO52" s="64"/>
      <c r="CP52" s="65"/>
      <c r="CQ52" s="52"/>
    </row>
    <row r="53" spans="1:95" ht="12.75" customHeight="1">
      <c r="A53" s="60" t="s">
        <v>54</v>
      </c>
      <c r="B53" s="61"/>
      <c r="C53" s="61"/>
      <c r="D53" s="61"/>
      <c r="E53" s="61"/>
      <c r="F53" s="62"/>
      <c r="G53" s="73" t="s">
        <v>88</v>
      </c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5"/>
      <c r="AY53" s="79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80"/>
      <c r="BM53" s="80"/>
      <c r="BN53" s="80"/>
      <c r="BO53" s="81"/>
      <c r="BP53" s="72">
        <v>0.5</v>
      </c>
      <c r="BQ53" s="61"/>
      <c r="BR53" s="61"/>
      <c r="BS53" s="61"/>
      <c r="BT53" s="61"/>
      <c r="BU53" s="61"/>
      <c r="BV53" s="61"/>
      <c r="BW53" s="62"/>
      <c r="BX53" s="63">
        <f>AY53*BP53</f>
        <v>0</v>
      </c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O53" s="64"/>
      <c r="CP53" s="65"/>
      <c r="CQ53" s="52"/>
    </row>
    <row r="54" spans="1:95" ht="12.75" customHeight="1">
      <c r="A54" s="60"/>
      <c r="B54" s="61"/>
      <c r="C54" s="61"/>
      <c r="D54" s="61"/>
      <c r="E54" s="61"/>
      <c r="F54" s="62"/>
      <c r="G54" s="73" t="s">
        <v>86</v>
      </c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5"/>
      <c r="AY54" s="79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0"/>
      <c r="BO54" s="81"/>
      <c r="BP54" s="60" t="s">
        <v>67</v>
      </c>
      <c r="BQ54" s="61"/>
      <c r="BR54" s="61"/>
      <c r="BS54" s="61"/>
      <c r="BT54" s="61"/>
      <c r="BU54" s="61"/>
      <c r="BV54" s="61"/>
      <c r="BW54" s="62"/>
      <c r="BX54" s="63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5"/>
      <c r="CQ54" s="52"/>
    </row>
    <row r="55" spans="1:95" ht="15">
      <c r="A55" s="60" t="s">
        <v>55</v>
      </c>
      <c r="B55" s="61"/>
      <c r="C55" s="61"/>
      <c r="D55" s="61"/>
      <c r="E55" s="61"/>
      <c r="F55" s="62"/>
      <c r="G55" s="73" t="s">
        <v>87</v>
      </c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5"/>
      <c r="AY55" s="79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0"/>
      <c r="BO55" s="81"/>
      <c r="BP55" s="60" t="s">
        <v>67</v>
      </c>
      <c r="BQ55" s="61"/>
      <c r="BR55" s="61"/>
      <c r="BS55" s="61"/>
      <c r="BT55" s="61"/>
      <c r="BU55" s="61"/>
      <c r="BV55" s="61"/>
      <c r="BW55" s="62"/>
      <c r="BX55" s="63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5"/>
      <c r="CQ55" s="52"/>
    </row>
    <row r="56" spans="1:95" ht="13.5" customHeight="1">
      <c r="A56" s="60">
        <v>4</v>
      </c>
      <c r="B56" s="61"/>
      <c r="C56" s="61"/>
      <c r="D56" s="62"/>
      <c r="E56" s="73" t="s">
        <v>89</v>
      </c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5"/>
      <c r="AY56" s="69" t="s">
        <v>69</v>
      </c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0"/>
      <c r="BS56" s="70"/>
      <c r="BT56" s="70"/>
      <c r="BU56" s="70"/>
      <c r="BV56" s="70"/>
      <c r="BW56" s="71"/>
      <c r="BX56" s="63">
        <f>SUM(BX50:CP55)</f>
        <v>0</v>
      </c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5"/>
      <c r="CQ56" s="52">
        <f>BX56</f>
        <v>0</v>
      </c>
    </row>
    <row r="57" spans="1:95">
      <c r="CH57" s="57"/>
      <c r="CI57" s="58"/>
      <c r="CJ57" s="58"/>
      <c r="CK57" s="58"/>
      <c r="CL57" s="58"/>
      <c r="CM57" s="58"/>
      <c r="CN57" s="58"/>
      <c r="CO57" s="58"/>
      <c r="CP57" s="58"/>
    </row>
  </sheetData>
  <mergeCells count="176">
    <mergeCell ref="AI17:BU19"/>
    <mergeCell ref="BQ14:BU16"/>
    <mergeCell ref="AI14:AJ16"/>
    <mergeCell ref="A36:AW36"/>
    <mergeCell ref="AX36:CP36"/>
    <mergeCell ref="AY55:BO55"/>
    <mergeCell ref="AY54:BO54"/>
    <mergeCell ref="AY53:BO53"/>
    <mergeCell ref="AY52:BO52"/>
    <mergeCell ref="AY51:BO51"/>
    <mergeCell ref="AY50:BO50"/>
    <mergeCell ref="AY49:BO49"/>
    <mergeCell ref="G55:AX55"/>
    <mergeCell ref="G54:AX54"/>
    <mergeCell ref="G53:AX53"/>
    <mergeCell ref="G52:AX52"/>
    <mergeCell ref="G51:AX51"/>
    <mergeCell ref="G50:AX50"/>
    <mergeCell ref="G49:AX49"/>
    <mergeCell ref="A42:AV42"/>
    <mergeCell ref="AW42:CP42"/>
    <mergeCell ref="A48:AX48"/>
    <mergeCell ref="AY48:CP48"/>
    <mergeCell ref="A50:F50"/>
    <mergeCell ref="T15:AF16"/>
    <mergeCell ref="O25:O26"/>
    <mergeCell ref="N25:N26"/>
    <mergeCell ref="M25:M26"/>
    <mergeCell ref="L25:L26"/>
    <mergeCell ref="K25:K26"/>
    <mergeCell ref="J25:J26"/>
    <mergeCell ref="A20:C20"/>
    <mergeCell ref="A22:C22"/>
    <mergeCell ref="AE24:AE25"/>
    <mergeCell ref="T6:X6"/>
    <mergeCell ref="T7:X7"/>
    <mergeCell ref="B10:N11"/>
    <mergeCell ref="O10:R11"/>
    <mergeCell ref="T11:AF13"/>
    <mergeCell ref="N6:P6"/>
    <mergeCell ref="C7:H7"/>
    <mergeCell ref="K9:R9"/>
    <mergeCell ref="A6:M6"/>
    <mergeCell ref="I7:R7"/>
    <mergeCell ref="E3:M3"/>
    <mergeCell ref="B4:Q4"/>
    <mergeCell ref="AD4:AF4"/>
    <mergeCell ref="AD5:AF5"/>
    <mergeCell ref="T4:AC4"/>
    <mergeCell ref="T5:AC5"/>
    <mergeCell ref="AD3:AF3"/>
    <mergeCell ref="T3:AC3"/>
    <mergeCell ref="Q25:Q26"/>
    <mergeCell ref="P25:P26"/>
    <mergeCell ref="F13:L13"/>
    <mergeCell ref="B14:M14"/>
    <mergeCell ref="N14:R14"/>
    <mergeCell ref="AF24:AF25"/>
    <mergeCell ref="AE22:AE23"/>
    <mergeCell ref="AF22:AF23"/>
    <mergeCell ref="S25:S26"/>
    <mergeCell ref="R25:R26"/>
    <mergeCell ref="T14:AF14"/>
    <mergeCell ref="T25:T26"/>
    <mergeCell ref="A25:I26"/>
    <mergeCell ref="O16:Q17"/>
    <mergeCell ref="H16:N17"/>
    <mergeCell ref="B16:G17"/>
    <mergeCell ref="AI2:BU3"/>
    <mergeCell ref="AI4:BU5"/>
    <mergeCell ref="AI6:BU6"/>
    <mergeCell ref="AI7:BU7"/>
    <mergeCell ref="AI8:BU9"/>
    <mergeCell ref="CI23:CO24"/>
    <mergeCell ref="BY5:CO5"/>
    <mergeCell ref="BY6:CO6"/>
    <mergeCell ref="BY7:CO7"/>
    <mergeCell ref="BY8:CO9"/>
    <mergeCell ref="BY10:CO11"/>
    <mergeCell ref="BY12:CO13"/>
    <mergeCell ref="BY14:CO14"/>
    <mergeCell ref="CD3:CM3"/>
    <mergeCell ref="CC17:CI18"/>
    <mergeCell ref="CB19:CK20"/>
    <mergeCell ref="CH21:CK21"/>
    <mergeCell ref="CE21:CG21"/>
    <mergeCell ref="CB21:CD21"/>
    <mergeCell ref="AI22:AM24"/>
    <mergeCell ref="AN22:BU24"/>
    <mergeCell ref="AI20:AP21"/>
    <mergeCell ref="BO20:BU21"/>
    <mergeCell ref="AQ20:BN21"/>
    <mergeCell ref="AK14:BP16"/>
    <mergeCell ref="A28:AP28"/>
    <mergeCell ref="AQ28:CP28"/>
    <mergeCell ref="A34:D34"/>
    <mergeCell ref="A33:F33"/>
    <mergeCell ref="A32:F32"/>
    <mergeCell ref="A31:F31"/>
    <mergeCell ref="A30:F30"/>
    <mergeCell ref="A29:F29"/>
    <mergeCell ref="G33:AJ33"/>
    <mergeCell ref="G32:AJ32"/>
    <mergeCell ref="G31:AJ31"/>
    <mergeCell ref="G30:AJ30"/>
    <mergeCell ref="G29:AJ29"/>
    <mergeCell ref="E34:BW34"/>
    <mergeCell ref="AK33:BW33"/>
    <mergeCell ref="AK32:BW32"/>
    <mergeCell ref="AK31:BW31"/>
    <mergeCell ref="AK30:BW30"/>
    <mergeCell ref="AK29:BW29"/>
    <mergeCell ref="BX34:CP34"/>
    <mergeCell ref="BX33:CP33"/>
    <mergeCell ref="BX32:CP32"/>
    <mergeCell ref="BX31:CP31"/>
    <mergeCell ref="BX30:CP30"/>
    <mergeCell ref="BX29:CP29"/>
    <mergeCell ref="BX40:CP40"/>
    <mergeCell ref="BX39:CP39"/>
    <mergeCell ref="BX38:CP38"/>
    <mergeCell ref="BX37:CP37"/>
    <mergeCell ref="BP39:BW39"/>
    <mergeCell ref="BP38:BW38"/>
    <mergeCell ref="BP37:BW37"/>
    <mergeCell ref="AY40:BW40"/>
    <mergeCell ref="AY39:BO39"/>
    <mergeCell ref="AY38:BO38"/>
    <mergeCell ref="AY37:BO37"/>
    <mergeCell ref="BW44:CP44"/>
    <mergeCell ref="BW43:CP43"/>
    <mergeCell ref="AK45:BV45"/>
    <mergeCell ref="AK44:BV44"/>
    <mergeCell ref="AK43:BV43"/>
    <mergeCell ref="E46:BV46"/>
    <mergeCell ref="G45:AJ45"/>
    <mergeCell ref="G44:AJ44"/>
    <mergeCell ref="G43:AJ43"/>
    <mergeCell ref="BW46:CP46"/>
    <mergeCell ref="BW45:CP45"/>
    <mergeCell ref="A46:D46"/>
    <mergeCell ref="A45:F45"/>
    <mergeCell ref="A44:F44"/>
    <mergeCell ref="A43:F43"/>
    <mergeCell ref="F37:AX37"/>
    <mergeCell ref="F38:AX38"/>
    <mergeCell ref="F39:AX39"/>
    <mergeCell ref="E40:AX40"/>
    <mergeCell ref="A40:D40"/>
    <mergeCell ref="A39:E39"/>
    <mergeCell ref="A38:E38"/>
    <mergeCell ref="A37:E37"/>
    <mergeCell ref="A56:D56"/>
    <mergeCell ref="A55:F55"/>
    <mergeCell ref="A54:F54"/>
    <mergeCell ref="A53:F53"/>
    <mergeCell ref="A52:F52"/>
    <mergeCell ref="A51:F51"/>
    <mergeCell ref="BX50:CP50"/>
    <mergeCell ref="BX49:CP49"/>
    <mergeCell ref="AY56:BW56"/>
    <mergeCell ref="BP55:BW55"/>
    <mergeCell ref="BP54:BW54"/>
    <mergeCell ref="BP53:BW53"/>
    <mergeCell ref="BP52:BW52"/>
    <mergeCell ref="BP51:BW51"/>
    <mergeCell ref="BP50:BW50"/>
    <mergeCell ref="BP49:BW49"/>
    <mergeCell ref="BX56:CP56"/>
    <mergeCell ref="BX55:CP55"/>
    <mergeCell ref="BX54:CP54"/>
    <mergeCell ref="BX53:CP53"/>
    <mergeCell ref="BX52:CP52"/>
    <mergeCell ref="BX51:CP51"/>
    <mergeCell ref="E56:AX56"/>
    <mergeCell ref="A49:F49"/>
  </mergeCells>
  <pageMargins left="0.4513888888888889" right="0.52083333333333337" top="0.22916666666666666" bottom="0.20833333333333334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D1:DE38"/>
  <sheetViews>
    <sheetView view="pageLayout" workbookViewId="0">
      <selection activeCell="BK10" sqref="BK10:CG10"/>
    </sheetView>
  </sheetViews>
  <sheetFormatPr baseColWidth="10" defaultRowHeight="12"/>
  <cols>
    <col min="1" max="29" width="1.28515625" style="2" customWidth="1"/>
    <col min="30" max="30" width="1.42578125" style="2" customWidth="1"/>
    <col min="31" max="177" width="1.28515625" style="2" customWidth="1"/>
    <col min="178" max="16384" width="11.42578125" style="2"/>
  </cols>
  <sheetData>
    <row r="1" spans="4:109" ht="18" customHeight="1">
      <c r="D1" s="188" t="s">
        <v>90</v>
      </c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89"/>
      <c r="AP1" s="189"/>
      <c r="AQ1" s="189"/>
      <c r="AR1" s="189"/>
      <c r="AS1" s="189"/>
      <c r="AT1" s="189"/>
      <c r="AU1" s="189"/>
      <c r="AV1" s="189"/>
      <c r="AW1" s="189"/>
      <c r="AX1" s="189"/>
      <c r="AY1" s="189"/>
      <c r="AZ1" s="189"/>
      <c r="BA1" s="189"/>
      <c r="BB1" s="186" t="s">
        <v>124</v>
      </c>
      <c r="BC1" s="186"/>
      <c r="BD1" s="186"/>
      <c r="BE1" s="186"/>
      <c r="BF1" s="186"/>
      <c r="BG1" s="186"/>
      <c r="BH1" s="186"/>
      <c r="BI1" s="186"/>
      <c r="BJ1" s="186"/>
      <c r="BK1" s="186"/>
      <c r="BL1" s="186"/>
      <c r="BM1" s="186"/>
      <c r="BN1" s="186"/>
      <c r="BO1" s="186"/>
      <c r="BP1" s="186"/>
      <c r="BQ1" s="186"/>
      <c r="BR1" s="186"/>
      <c r="BS1" s="186"/>
      <c r="BT1" s="186"/>
      <c r="BU1" s="186"/>
      <c r="BV1" s="186"/>
      <c r="BW1" s="186"/>
      <c r="BX1" s="186"/>
      <c r="BY1" s="186"/>
      <c r="BZ1" s="186"/>
      <c r="CA1" s="186"/>
      <c r="CB1" s="186"/>
      <c r="CC1" s="186"/>
      <c r="CD1" s="186"/>
      <c r="CE1" s="186"/>
      <c r="CF1" s="186"/>
      <c r="CG1" s="186"/>
      <c r="CH1" s="186"/>
      <c r="CI1" s="186"/>
      <c r="CJ1" s="186"/>
      <c r="CK1" s="186"/>
      <c r="CL1" s="186"/>
      <c r="CM1" s="186"/>
      <c r="CN1" s="186"/>
      <c r="CO1" s="186"/>
      <c r="CP1" s="186"/>
      <c r="CQ1" s="186"/>
      <c r="CR1" s="186"/>
      <c r="CS1" s="186"/>
      <c r="CT1" s="186"/>
      <c r="CU1" s="186"/>
      <c r="CV1" s="186"/>
      <c r="CW1" s="186"/>
      <c r="CX1" s="186"/>
      <c r="CY1" s="186"/>
      <c r="CZ1" s="186"/>
      <c r="DA1" s="186"/>
      <c r="DB1" s="186"/>
      <c r="DC1" s="186"/>
      <c r="DD1" s="186"/>
      <c r="DE1" s="187"/>
    </row>
    <row r="2" spans="4:109" ht="18" customHeight="1">
      <c r="D2" s="87" t="s">
        <v>91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2"/>
    </row>
    <row r="3" spans="4:109" s="20" customFormat="1" ht="10.5" customHeight="1">
      <c r="D3" s="169" t="s">
        <v>45</v>
      </c>
      <c r="E3" s="170"/>
      <c r="F3" s="170"/>
      <c r="G3" s="170"/>
      <c r="H3" s="170"/>
      <c r="I3" s="194"/>
      <c r="J3" s="169" t="s">
        <v>118</v>
      </c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69" t="s">
        <v>119</v>
      </c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70"/>
      <c r="BB3" s="170"/>
      <c r="BC3" s="170"/>
      <c r="BD3" s="170"/>
      <c r="BE3" s="170"/>
      <c r="BF3" s="170"/>
      <c r="BG3" s="170"/>
      <c r="BH3" s="170"/>
      <c r="BI3" s="170"/>
      <c r="BJ3" s="194"/>
      <c r="BK3" s="169" t="s">
        <v>120</v>
      </c>
      <c r="BL3" s="170"/>
      <c r="BM3" s="170"/>
      <c r="BN3" s="170"/>
      <c r="BO3" s="170"/>
      <c r="BP3" s="170"/>
      <c r="BQ3" s="170"/>
      <c r="BR3" s="170"/>
      <c r="BS3" s="170"/>
      <c r="BT3" s="170"/>
      <c r="BU3" s="170"/>
      <c r="BV3" s="170"/>
      <c r="BW3" s="170"/>
      <c r="BX3" s="170"/>
      <c r="BY3" s="170"/>
      <c r="BZ3" s="170"/>
      <c r="CA3" s="170"/>
      <c r="CB3" s="170"/>
      <c r="CC3" s="170"/>
      <c r="CD3" s="170"/>
      <c r="CE3" s="170"/>
      <c r="CF3" s="170"/>
      <c r="CG3" s="194"/>
      <c r="CH3" s="190" t="s">
        <v>92</v>
      </c>
      <c r="CI3" s="190"/>
      <c r="CJ3" s="190"/>
      <c r="CK3" s="190"/>
      <c r="CL3" s="169" t="s">
        <v>94</v>
      </c>
      <c r="CM3" s="170"/>
      <c r="CN3" s="170"/>
      <c r="CO3" s="170"/>
      <c r="CP3" s="170"/>
      <c r="CQ3" s="170"/>
      <c r="CR3" s="170"/>
      <c r="CS3" s="170"/>
      <c r="CT3" s="170"/>
      <c r="CU3" s="170"/>
      <c r="CV3" s="170"/>
      <c r="CW3" s="170"/>
      <c r="CX3" s="170"/>
      <c r="CY3" s="170"/>
      <c r="CZ3" s="170"/>
      <c r="DA3" s="170"/>
      <c r="DB3" s="170"/>
      <c r="DC3" s="170"/>
      <c r="DD3" s="170"/>
      <c r="DE3" s="194"/>
    </row>
    <row r="4" spans="4:109" s="20" customFormat="1" ht="12.75" customHeight="1">
      <c r="D4" s="171"/>
      <c r="E4" s="172"/>
      <c r="F4" s="172"/>
      <c r="G4" s="172"/>
      <c r="H4" s="172"/>
      <c r="I4" s="195"/>
      <c r="J4" s="196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6"/>
      <c r="AO4" s="197"/>
      <c r="AP4" s="197"/>
      <c r="AQ4" s="197"/>
      <c r="AR4" s="197"/>
      <c r="AS4" s="197"/>
      <c r="AT4" s="197"/>
      <c r="AU4" s="197"/>
      <c r="AV4" s="197"/>
      <c r="AW4" s="197"/>
      <c r="AX4" s="197"/>
      <c r="AY4" s="197"/>
      <c r="AZ4" s="197"/>
      <c r="BA4" s="197"/>
      <c r="BB4" s="197"/>
      <c r="BC4" s="197"/>
      <c r="BD4" s="197"/>
      <c r="BE4" s="197"/>
      <c r="BF4" s="197"/>
      <c r="BG4" s="197"/>
      <c r="BH4" s="197"/>
      <c r="BI4" s="197"/>
      <c r="BJ4" s="198"/>
      <c r="BK4" s="196"/>
      <c r="BL4" s="197"/>
      <c r="BM4" s="197"/>
      <c r="BN4" s="197"/>
      <c r="BO4" s="197"/>
      <c r="BP4" s="197"/>
      <c r="BQ4" s="197"/>
      <c r="BR4" s="197"/>
      <c r="BS4" s="197"/>
      <c r="BT4" s="197"/>
      <c r="BU4" s="197"/>
      <c r="BV4" s="197"/>
      <c r="BW4" s="197"/>
      <c r="BX4" s="197"/>
      <c r="BY4" s="197"/>
      <c r="BZ4" s="197"/>
      <c r="CA4" s="197"/>
      <c r="CB4" s="197"/>
      <c r="CC4" s="197"/>
      <c r="CD4" s="197"/>
      <c r="CE4" s="197"/>
      <c r="CF4" s="197"/>
      <c r="CG4" s="198"/>
      <c r="CH4" s="190" t="s">
        <v>93</v>
      </c>
      <c r="CI4" s="190"/>
      <c r="CJ4" s="190"/>
      <c r="CK4" s="190"/>
      <c r="CL4" s="191" t="s">
        <v>95</v>
      </c>
      <c r="CM4" s="192"/>
      <c r="CN4" s="192"/>
      <c r="CO4" s="192"/>
      <c r="CP4" s="192"/>
      <c r="CQ4" s="192"/>
      <c r="CR4" s="192"/>
      <c r="CS4" s="192"/>
      <c r="CT4" s="192"/>
      <c r="CU4" s="192"/>
      <c r="CV4" s="192"/>
      <c r="CW4" s="192"/>
      <c r="CX4" s="192"/>
      <c r="CY4" s="192"/>
      <c r="CZ4" s="192"/>
      <c r="DA4" s="192"/>
      <c r="DB4" s="192"/>
      <c r="DC4" s="192"/>
      <c r="DD4" s="192"/>
      <c r="DE4" s="193"/>
    </row>
    <row r="5" spans="4:109" ht="18" customHeight="1">
      <c r="D5" s="211"/>
      <c r="E5" s="212"/>
      <c r="F5" s="212"/>
      <c r="G5" s="212"/>
      <c r="H5" s="212"/>
      <c r="I5" s="213"/>
      <c r="J5" s="202" t="s">
        <v>96</v>
      </c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  <c r="AK5" s="203"/>
      <c r="AL5" s="203"/>
      <c r="AM5" s="203"/>
      <c r="AN5" s="214"/>
      <c r="AO5" s="204"/>
      <c r="AP5" s="204"/>
      <c r="AQ5" s="204"/>
      <c r="AR5" s="204"/>
      <c r="AS5" s="204"/>
      <c r="AT5" s="204"/>
      <c r="AU5" s="204"/>
      <c r="AV5" s="204"/>
      <c r="AW5" s="204"/>
      <c r="AX5" s="204"/>
      <c r="AY5" s="204"/>
      <c r="AZ5" s="204"/>
      <c r="BA5" s="204"/>
      <c r="BB5" s="204"/>
      <c r="BC5" s="204"/>
      <c r="BD5" s="204"/>
      <c r="BE5" s="204"/>
      <c r="BF5" s="204"/>
      <c r="BG5" s="204"/>
      <c r="BH5" s="204"/>
      <c r="BI5" s="204"/>
      <c r="BJ5" s="205"/>
      <c r="BK5" s="204"/>
      <c r="BL5" s="204"/>
      <c r="BM5" s="204"/>
      <c r="BN5" s="204"/>
      <c r="BO5" s="204"/>
      <c r="BP5" s="204"/>
      <c r="BQ5" s="204"/>
      <c r="BR5" s="204"/>
      <c r="BS5" s="204"/>
      <c r="BT5" s="204"/>
      <c r="BU5" s="204"/>
      <c r="BV5" s="204"/>
      <c r="BW5" s="204"/>
      <c r="BX5" s="204"/>
      <c r="BY5" s="204"/>
      <c r="BZ5" s="204"/>
      <c r="CA5" s="204"/>
      <c r="CB5" s="204"/>
      <c r="CC5" s="204"/>
      <c r="CD5" s="204"/>
      <c r="CE5" s="204"/>
      <c r="CF5" s="204"/>
      <c r="CG5" s="204"/>
      <c r="CH5" s="208">
        <v>0.03</v>
      </c>
      <c r="CI5" s="209"/>
      <c r="CJ5" s="209"/>
      <c r="CK5" s="210"/>
      <c r="CL5" s="204">
        <f>BK5*CH5</f>
        <v>0</v>
      </c>
      <c r="CM5" s="204"/>
      <c r="CN5" s="204"/>
      <c r="CO5" s="204"/>
      <c r="CP5" s="204"/>
      <c r="CQ5" s="204"/>
      <c r="CR5" s="204"/>
      <c r="CS5" s="204"/>
      <c r="CT5" s="204"/>
      <c r="CU5" s="204"/>
      <c r="CV5" s="204"/>
      <c r="CW5" s="204"/>
      <c r="CX5" s="204"/>
      <c r="CY5" s="204"/>
      <c r="CZ5" s="204"/>
      <c r="DA5" s="204"/>
      <c r="DB5" s="204"/>
      <c r="DC5" s="204"/>
      <c r="DD5" s="204"/>
      <c r="DE5" s="205"/>
    </row>
    <row r="6" spans="4:109" ht="12.75" customHeight="1">
      <c r="D6" s="211"/>
      <c r="E6" s="212"/>
      <c r="F6" s="212"/>
      <c r="G6" s="212"/>
      <c r="H6" s="212"/>
      <c r="I6" s="213"/>
      <c r="J6" s="199" t="s">
        <v>101</v>
      </c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  <c r="AG6" s="200"/>
      <c r="AH6" s="200"/>
      <c r="AI6" s="200"/>
      <c r="AJ6" s="200"/>
      <c r="AK6" s="200"/>
      <c r="AL6" s="200"/>
      <c r="AM6" s="201"/>
      <c r="AN6" s="215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7"/>
      <c r="BK6" s="206"/>
      <c r="BL6" s="206"/>
      <c r="BM6" s="206"/>
      <c r="BN6" s="206"/>
      <c r="BO6" s="206"/>
      <c r="BP6" s="206"/>
      <c r="BQ6" s="206"/>
      <c r="BR6" s="206"/>
      <c r="BS6" s="206"/>
      <c r="BT6" s="206"/>
      <c r="BU6" s="206"/>
      <c r="BV6" s="206"/>
      <c r="BW6" s="206"/>
      <c r="BX6" s="206"/>
      <c r="BY6" s="206"/>
      <c r="BZ6" s="206"/>
      <c r="CA6" s="206"/>
      <c r="CB6" s="206"/>
      <c r="CC6" s="206"/>
      <c r="CD6" s="206"/>
      <c r="CE6" s="206"/>
      <c r="CF6" s="206"/>
      <c r="CG6" s="206"/>
      <c r="CH6" s="211"/>
      <c r="CI6" s="212"/>
      <c r="CJ6" s="212"/>
      <c r="CK6" s="213"/>
      <c r="CL6" s="206"/>
      <c r="CM6" s="206"/>
      <c r="CN6" s="206"/>
      <c r="CO6" s="206"/>
      <c r="CP6" s="206"/>
      <c r="CQ6" s="206"/>
      <c r="CR6" s="206"/>
      <c r="CS6" s="206"/>
      <c r="CT6" s="206"/>
      <c r="CU6" s="206"/>
      <c r="CV6" s="206"/>
      <c r="CW6" s="206"/>
      <c r="CX6" s="206"/>
      <c r="CY6" s="206"/>
      <c r="CZ6" s="206"/>
      <c r="DA6" s="206"/>
      <c r="DB6" s="206"/>
      <c r="DC6" s="206"/>
      <c r="DD6" s="206"/>
      <c r="DE6" s="207"/>
    </row>
    <row r="7" spans="4:109" ht="21.75" customHeight="1">
      <c r="D7" s="211"/>
      <c r="E7" s="212"/>
      <c r="F7" s="212"/>
      <c r="G7" s="212"/>
      <c r="H7" s="212"/>
      <c r="I7" s="213"/>
      <c r="J7" s="237" t="s">
        <v>97</v>
      </c>
      <c r="K7" s="238"/>
      <c r="L7" s="238"/>
      <c r="M7" s="238"/>
      <c r="N7" s="238"/>
      <c r="O7" s="238"/>
      <c r="P7" s="238"/>
      <c r="Q7" s="238"/>
      <c r="R7" s="238"/>
      <c r="S7" s="238"/>
      <c r="T7" s="238"/>
      <c r="U7" s="238"/>
      <c r="V7" s="238"/>
      <c r="W7" s="238"/>
      <c r="X7" s="238"/>
      <c r="Y7" s="238"/>
      <c r="Z7" s="238"/>
      <c r="AA7" s="238"/>
      <c r="AB7" s="238"/>
      <c r="AC7" s="238"/>
      <c r="AD7" s="238"/>
      <c r="AE7" s="238"/>
      <c r="AF7" s="238"/>
      <c r="AG7" s="238"/>
      <c r="AH7" s="238"/>
      <c r="AI7" s="238"/>
      <c r="AJ7" s="238"/>
      <c r="AK7" s="238"/>
      <c r="AL7" s="238"/>
      <c r="AM7" s="239"/>
      <c r="AN7" s="216"/>
      <c r="AO7" s="217"/>
      <c r="AP7" s="217"/>
      <c r="AQ7" s="217"/>
      <c r="AR7" s="217"/>
      <c r="AS7" s="217"/>
      <c r="AT7" s="217"/>
      <c r="AU7" s="217"/>
      <c r="AV7" s="217"/>
      <c r="AW7" s="217"/>
      <c r="AX7" s="217"/>
      <c r="AY7" s="217"/>
      <c r="AZ7" s="217"/>
      <c r="BA7" s="217"/>
      <c r="BB7" s="217"/>
      <c r="BC7" s="217"/>
      <c r="BD7" s="217"/>
      <c r="BE7" s="217"/>
      <c r="BF7" s="217"/>
      <c r="BG7" s="217"/>
      <c r="BH7" s="217"/>
      <c r="BI7" s="217"/>
      <c r="BJ7" s="218"/>
      <c r="BK7" s="219"/>
      <c r="BL7" s="217"/>
      <c r="BM7" s="217"/>
      <c r="BN7" s="217"/>
      <c r="BO7" s="217"/>
      <c r="BP7" s="217"/>
      <c r="BQ7" s="217"/>
      <c r="BR7" s="217"/>
      <c r="BS7" s="217"/>
      <c r="BT7" s="217"/>
      <c r="BU7" s="217"/>
      <c r="BV7" s="217"/>
      <c r="BW7" s="217"/>
      <c r="BX7" s="217"/>
      <c r="BY7" s="217"/>
      <c r="BZ7" s="217"/>
      <c r="CA7" s="217"/>
      <c r="CB7" s="217"/>
      <c r="CC7" s="217"/>
      <c r="CD7" s="217"/>
      <c r="CE7" s="217"/>
      <c r="CF7" s="217"/>
      <c r="CG7" s="220"/>
      <c r="CH7" s="233">
        <v>1.4999999999999999E-2</v>
      </c>
      <c r="CI7" s="234"/>
      <c r="CJ7" s="234"/>
      <c r="CK7" s="235"/>
      <c r="CL7" s="219">
        <f>+BK7*CH7</f>
        <v>0</v>
      </c>
      <c r="CM7" s="217"/>
      <c r="CN7" s="217"/>
      <c r="CO7" s="217"/>
      <c r="CP7" s="217"/>
      <c r="CQ7" s="217"/>
      <c r="CR7" s="217"/>
      <c r="CS7" s="217"/>
      <c r="CT7" s="217"/>
      <c r="CU7" s="217"/>
      <c r="CV7" s="217"/>
      <c r="CW7" s="217"/>
      <c r="CX7" s="217"/>
      <c r="CY7" s="217"/>
      <c r="CZ7" s="217"/>
      <c r="DA7" s="217"/>
      <c r="DB7" s="217"/>
      <c r="DC7" s="217"/>
      <c r="DD7" s="217"/>
      <c r="DE7" s="218"/>
    </row>
    <row r="8" spans="4:109" ht="12.75" customHeight="1">
      <c r="D8" s="211"/>
      <c r="E8" s="212"/>
      <c r="F8" s="212"/>
      <c r="G8" s="212"/>
      <c r="H8" s="212"/>
      <c r="I8" s="213"/>
      <c r="J8" s="242" t="s">
        <v>98</v>
      </c>
      <c r="K8" s="243"/>
      <c r="L8" s="243"/>
      <c r="M8" s="243"/>
      <c r="N8" s="243"/>
      <c r="O8" s="243"/>
      <c r="P8" s="243"/>
      <c r="Q8" s="243"/>
      <c r="R8" s="243"/>
      <c r="S8" s="243"/>
      <c r="T8" s="243"/>
      <c r="U8" s="243"/>
      <c r="V8" s="243"/>
      <c r="W8" s="243"/>
      <c r="X8" s="243"/>
      <c r="Y8" s="243"/>
      <c r="Z8" s="243"/>
      <c r="AA8" s="243"/>
      <c r="AB8" s="243"/>
      <c r="AC8" s="243"/>
      <c r="AD8" s="243"/>
      <c r="AE8" s="243"/>
      <c r="AF8" s="243"/>
      <c r="AG8" s="243"/>
      <c r="AH8" s="243"/>
      <c r="AI8" s="243"/>
      <c r="AJ8" s="243"/>
      <c r="AK8" s="243"/>
      <c r="AL8" s="243"/>
      <c r="AM8" s="244"/>
      <c r="AN8" s="216"/>
      <c r="AO8" s="217"/>
      <c r="AP8" s="217"/>
      <c r="AQ8" s="217"/>
      <c r="AR8" s="217"/>
      <c r="AS8" s="217"/>
      <c r="AT8" s="217"/>
      <c r="AU8" s="217"/>
      <c r="AV8" s="217"/>
      <c r="AW8" s="217"/>
      <c r="AX8" s="217"/>
      <c r="AY8" s="217"/>
      <c r="AZ8" s="217"/>
      <c r="BA8" s="217"/>
      <c r="BB8" s="217"/>
      <c r="BC8" s="217"/>
      <c r="BD8" s="217"/>
      <c r="BE8" s="217"/>
      <c r="BF8" s="217"/>
      <c r="BG8" s="217"/>
      <c r="BH8" s="217"/>
      <c r="BI8" s="217"/>
      <c r="BJ8" s="218"/>
      <c r="BK8" s="219"/>
      <c r="BL8" s="217"/>
      <c r="BM8" s="217"/>
      <c r="BN8" s="217"/>
      <c r="BO8" s="217"/>
      <c r="BP8" s="217"/>
      <c r="BQ8" s="217"/>
      <c r="BR8" s="217"/>
      <c r="BS8" s="217"/>
      <c r="BT8" s="217"/>
      <c r="BU8" s="217"/>
      <c r="BV8" s="217"/>
      <c r="BW8" s="217"/>
      <c r="BX8" s="217"/>
      <c r="BY8" s="217"/>
      <c r="BZ8" s="217"/>
      <c r="CA8" s="217"/>
      <c r="CB8" s="217"/>
      <c r="CC8" s="217"/>
      <c r="CD8" s="217"/>
      <c r="CE8" s="217"/>
      <c r="CF8" s="217"/>
      <c r="CG8" s="220"/>
      <c r="CH8" s="221"/>
      <c r="CI8" s="222"/>
      <c r="CJ8" s="222"/>
      <c r="CK8" s="223"/>
      <c r="CL8" s="219"/>
      <c r="CM8" s="217"/>
      <c r="CN8" s="217"/>
      <c r="CO8" s="217"/>
      <c r="CP8" s="217"/>
      <c r="CQ8" s="217"/>
      <c r="CR8" s="217"/>
      <c r="CS8" s="217"/>
      <c r="CT8" s="217"/>
      <c r="CU8" s="217"/>
      <c r="CV8" s="217"/>
      <c r="CW8" s="217"/>
      <c r="CX8" s="217"/>
      <c r="CY8" s="217"/>
      <c r="CZ8" s="217"/>
      <c r="DA8" s="217"/>
      <c r="DB8" s="217"/>
      <c r="DC8" s="217"/>
      <c r="DD8" s="217"/>
      <c r="DE8" s="218"/>
    </row>
    <row r="9" spans="4:109" ht="14.25" customHeight="1">
      <c r="D9" s="211"/>
      <c r="E9" s="212"/>
      <c r="F9" s="212"/>
      <c r="G9" s="212"/>
      <c r="H9" s="212"/>
      <c r="I9" s="213"/>
      <c r="J9" s="240" t="s">
        <v>99</v>
      </c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  <c r="AC9" s="241"/>
      <c r="AD9" s="241"/>
      <c r="AE9" s="241"/>
      <c r="AF9" s="241"/>
      <c r="AG9" s="241"/>
      <c r="AH9" s="241"/>
      <c r="AI9" s="241"/>
      <c r="AJ9" s="241"/>
      <c r="AK9" s="241"/>
      <c r="AL9" s="241"/>
      <c r="AM9" s="241"/>
      <c r="AN9" s="215"/>
      <c r="AO9" s="206"/>
      <c r="AP9" s="206"/>
      <c r="AQ9" s="206"/>
      <c r="AR9" s="206"/>
      <c r="AS9" s="206"/>
      <c r="AT9" s="206"/>
      <c r="AU9" s="206"/>
      <c r="AV9" s="206"/>
      <c r="AW9" s="206"/>
      <c r="AX9" s="206"/>
      <c r="AY9" s="206"/>
      <c r="AZ9" s="206"/>
      <c r="BA9" s="206"/>
      <c r="BB9" s="206"/>
      <c r="BC9" s="206"/>
      <c r="BD9" s="206"/>
      <c r="BE9" s="206"/>
      <c r="BF9" s="206"/>
      <c r="BG9" s="206"/>
      <c r="BH9" s="206"/>
      <c r="BI9" s="206"/>
      <c r="BJ9" s="207"/>
      <c r="BK9" s="206"/>
      <c r="BL9" s="206"/>
      <c r="BM9" s="206"/>
      <c r="BN9" s="206"/>
      <c r="BO9" s="206"/>
      <c r="BP9" s="206"/>
      <c r="BQ9" s="206"/>
      <c r="BR9" s="206"/>
      <c r="BS9" s="206"/>
      <c r="BT9" s="206"/>
      <c r="BU9" s="206"/>
      <c r="BV9" s="206"/>
      <c r="BW9" s="206"/>
      <c r="BX9" s="206"/>
      <c r="BY9" s="206"/>
      <c r="BZ9" s="206"/>
      <c r="CA9" s="206"/>
      <c r="CB9" s="206"/>
      <c r="CC9" s="206"/>
      <c r="CD9" s="206"/>
      <c r="CE9" s="206"/>
      <c r="CF9" s="206"/>
      <c r="CG9" s="206"/>
      <c r="CH9" s="211"/>
      <c r="CI9" s="212"/>
      <c r="CJ9" s="212"/>
      <c r="CK9" s="213"/>
      <c r="CL9" s="206"/>
      <c r="CM9" s="206"/>
      <c r="CN9" s="206"/>
      <c r="CO9" s="206"/>
      <c r="CP9" s="206"/>
      <c r="CQ9" s="206"/>
      <c r="CR9" s="206"/>
      <c r="CS9" s="206"/>
      <c r="CT9" s="206"/>
      <c r="CU9" s="206"/>
      <c r="CV9" s="206"/>
      <c r="CW9" s="206"/>
      <c r="CX9" s="206"/>
      <c r="CY9" s="206"/>
      <c r="CZ9" s="206"/>
      <c r="DA9" s="206"/>
      <c r="DB9" s="206"/>
      <c r="DC9" s="206"/>
      <c r="DD9" s="206"/>
      <c r="DE9" s="207"/>
    </row>
    <row r="10" spans="4:109" ht="19.5" customHeight="1">
      <c r="D10" s="211"/>
      <c r="E10" s="212"/>
      <c r="F10" s="212"/>
      <c r="G10" s="212"/>
      <c r="H10" s="212"/>
      <c r="I10" s="213"/>
      <c r="J10" s="237" t="s">
        <v>100</v>
      </c>
      <c r="K10" s="238"/>
      <c r="L10" s="238"/>
      <c r="M10" s="238"/>
      <c r="N10" s="238"/>
      <c r="O10" s="238"/>
      <c r="P10" s="238"/>
      <c r="Q10" s="238"/>
      <c r="R10" s="238"/>
      <c r="S10" s="238"/>
      <c r="T10" s="238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9"/>
      <c r="AN10" s="216"/>
      <c r="AO10" s="217"/>
      <c r="AP10" s="217"/>
      <c r="AQ10" s="217"/>
      <c r="AR10" s="217"/>
      <c r="AS10" s="217"/>
      <c r="AT10" s="217"/>
      <c r="AU10" s="217"/>
      <c r="AV10" s="217"/>
      <c r="AW10" s="217"/>
      <c r="AX10" s="217"/>
      <c r="AY10" s="217"/>
      <c r="AZ10" s="217"/>
      <c r="BA10" s="217"/>
      <c r="BB10" s="217"/>
      <c r="BC10" s="217"/>
      <c r="BD10" s="217"/>
      <c r="BE10" s="217"/>
      <c r="BF10" s="217"/>
      <c r="BG10" s="217"/>
      <c r="BH10" s="217"/>
      <c r="BI10" s="217"/>
      <c r="BJ10" s="218"/>
      <c r="BK10" s="219"/>
      <c r="BL10" s="217"/>
      <c r="BM10" s="217"/>
      <c r="BN10" s="217"/>
      <c r="BO10" s="217"/>
      <c r="BP10" s="217"/>
      <c r="BQ10" s="217"/>
      <c r="BR10" s="217"/>
      <c r="BS10" s="217"/>
      <c r="BT10" s="217"/>
      <c r="BU10" s="217"/>
      <c r="BV10" s="217"/>
      <c r="BW10" s="217"/>
      <c r="BX10" s="217"/>
      <c r="BY10" s="217"/>
      <c r="BZ10" s="217"/>
      <c r="CA10" s="217"/>
      <c r="CB10" s="217"/>
      <c r="CC10" s="217"/>
      <c r="CD10" s="217"/>
      <c r="CE10" s="217"/>
      <c r="CF10" s="217"/>
      <c r="CG10" s="220"/>
      <c r="CH10" s="221"/>
      <c r="CI10" s="222"/>
      <c r="CJ10" s="222"/>
      <c r="CK10" s="223"/>
      <c r="CL10" s="219"/>
      <c r="CM10" s="217"/>
      <c r="CN10" s="217"/>
      <c r="CO10" s="217"/>
      <c r="CP10" s="217"/>
      <c r="CQ10" s="217"/>
      <c r="CR10" s="217"/>
      <c r="CS10" s="217"/>
      <c r="CT10" s="217"/>
      <c r="CU10" s="217"/>
      <c r="CV10" s="217"/>
      <c r="CW10" s="217"/>
      <c r="CX10" s="217"/>
      <c r="CY10" s="217"/>
      <c r="CZ10" s="217"/>
      <c r="DA10" s="217"/>
      <c r="DB10" s="217"/>
      <c r="DC10" s="217"/>
      <c r="DD10" s="217"/>
      <c r="DE10" s="218"/>
    </row>
    <row r="11" spans="4:109" ht="14.25" customHeight="1">
      <c r="D11" s="211"/>
      <c r="E11" s="212"/>
      <c r="F11" s="212"/>
      <c r="G11" s="212"/>
      <c r="H11" s="212"/>
      <c r="I11" s="213"/>
      <c r="J11" s="183" t="s">
        <v>102</v>
      </c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5"/>
      <c r="AN11" s="216"/>
      <c r="AO11" s="217"/>
      <c r="AP11" s="217"/>
      <c r="AQ11" s="217"/>
      <c r="AR11" s="217"/>
      <c r="AS11" s="217"/>
      <c r="AT11" s="217"/>
      <c r="AU11" s="217"/>
      <c r="AV11" s="217"/>
      <c r="AW11" s="217"/>
      <c r="AX11" s="217"/>
      <c r="AY11" s="217"/>
      <c r="AZ11" s="217"/>
      <c r="BA11" s="217"/>
      <c r="BB11" s="217"/>
      <c r="BC11" s="217"/>
      <c r="BD11" s="217"/>
      <c r="BE11" s="217"/>
      <c r="BF11" s="217"/>
      <c r="BG11" s="217"/>
      <c r="BH11" s="217"/>
      <c r="BI11" s="217"/>
      <c r="BJ11" s="218"/>
      <c r="BK11" s="219"/>
      <c r="BL11" s="217"/>
      <c r="BM11" s="217"/>
      <c r="BN11" s="217"/>
      <c r="BO11" s="217"/>
      <c r="BP11" s="217"/>
      <c r="BQ11" s="217"/>
      <c r="BR11" s="217"/>
      <c r="BS11" s="217"/>
      <c r="BT11" s="217"/>
      <c r="BU11" s="217"/>
      <c r="BV11" s="217"/>
      <c r="BW11" s="217"/>
      <c r="BX11" s="217"/>
      <c r="BY11" s="217"/>
      <c r="BZ11" s="217"/>
      <c r="CA11" s="217"/>
      <c r="CB11" s="217"/>
      <c r="CC11" s="217"/>
      <c r="CD11" s="217"/>
      <c r="CE11" s="217"/>
      <c r="CF11" s="217"/>
      <c r="CG11" s="220"/>
      <c r="CH11" s="221"/>
      <c r="CI11" s="222"/>
      <c r="CJ11" s="222"/>
      <c r="CK11" s="223"/>
      <c r="CL11" s="219"/>
      <c r="CM11" s="217"/>
      <c r="CN11" s="217"/>
      <c r="CO11" s="217"/>
      <c r="CP11" s="217"/>
      <c r="CQ11" s="217"/>
      <c r="CR11" s="217"/>
      <c r="CS11" s="217"/>
      <c r="CT11" s="217"/>
      <c r="CU11" s="217"/>
      <c r="CV11" s="217"/>
      <c r="CW11" s="217"/>
      <c r="CX11" s="217"/>
      <c r="CY11" s="217"/>
      <c r="CZ11" s="217"/>
      <c r="DA11" s="217"/>
      <c r="DB11" s="217"/>
      <c r="DC11" s="217"/>
      <c r="DD11" s="217"/>
      <c r="DE11" s="218"/>
    </row>
    <row r="12" spans="4:109" ht="15" customHeight="1">
      <c r="D12" s="211"/>
      <c r="E12" s="212"/>
      <c r="F12" s="212"/>
      <c r="G12" s="212"/>
      <c r="H12" s="212"/>
      <c r="I12" s="213"/>
      <c r="J12" s="183" t="s">
        <v>103</v>
      </c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5"/>
      <c r="AN12" s="216"/>
      <c r="AO12" s="217"/>
      <c r="AP12" s="217"/>
      <c r="AQ12" s="217"/>
      <c r="AR12" s="217"/>
      <c r="AS12" s="217"/>
      <c r="AT12" s="217"/>
      <c r="AU12" s="217"/>
      <c r="AV12" s="217"/>
      <c r="AW12" s="217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  <c r="BH12" s="217"/>
      <c r="BI12" s="217"/>
      <c r="BJ12" s="218"/>
      <c r="BK12" s="219"/>
      <c r="BL12" s="217"/>
      <c r="BM12" s="217"/>
      <c r="BN12" s="217"/>
      <c r="BO12" s="217"/>
      <c r="BP12" s="217"/>
      <c r="BQ12" s="217"/>
      <c r="BR12" s="217"/>
      <c r="BS12" s="217"/>
      <c r="BT12" s="217"/>
      <c r="BU12" s="217"/>
      <c r="BV12" s="217"/>
      <c r="BW12" s="217"/>
      <c r="BX12" s="217"/>
      <c r="BY12" s="217"/>
      <c r="BZ12" s="217"/>
      <c r="CA12" s="217"/>
      <c r="CB12" s="217"/>
      <c r="CC12" s="217"/>
      <c r="CD12" s="217"/>
      <c r="CE12" s="217"/>
      <c r="CF12" s="217"/>
      <c r="CG12" s="220"/>
      <c r="CH12" s="221"/>
      <c r="CI12" s="222"/>
      <c r="CJ12" s="222"/>
      <c r="CK12" s="223"/>
      <c r="CL12" s="219"/>
      <c r="CM12" s="217"/>
      <c r="CN12" s="217"/>
      <c r="CO12" s="217"/>
      <c r="CP12" s="217"/>
      <c r="CQ12" s="217"/>
      <c r="CR12" s="217"/>
      <c r="CS12" s="217"/>
      <c r="CT12" s="217"/>
      <c r="CU12" s="217"/>
      <c r="CV12" s="217"/>
      <c r="CW12" s="217"/>
      <c r="CX12" s="217"/>
      <c r="CY12" s="217"/>
      <c r="CZ12" s="217"/>
      <c r="DA12" s="217"/>
      <c r="DB12" s="217"/>
      <c r="DC12" s="217"/>
      <c r="DD12" s="217"/>
      <c r="DE12" s="218"/>
    </row>
    <row r="13" spans="4:109" ht="13.5" customHeight="1">
      <c r="D13" s="211"/>
      <c r="E13" s="212"/>
      <c r="F13" s="212"/>
      <c r="G13" s="212"/>
      <c r="H13" s="212"/>
      <c r="I13" s="213"/>
      <c r="J13" s="183" t="s">
        <v>104</v>
      </c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  <c r="AK13" s="184"/>
      <c r="AL13" s="184"/>
      <c r="AM13" s="185"/>
      <c r="AN13" s="216"/>
      <c r="AO13" s="217"/>
      <c r="AP13" s="217"/>
      <c r="AQ13" s="217"/>
      <c r="AR13" s="217"/>
      <c r="AS13" s="217"/>
      <c r="AT13" s="217"/>
      <c r="AU13" s="217"/>
      <c r="AV13" s="217"/>
      <c r="AW13" s="217"/>
      <c r="AX13" s="217"/>
      <c r="AY13" s="217"/>
      <c r="AZ13" s="217"/>
      <c r="BA13" s="217"/>
      <c r="BB13" s="217"/>
      <c r="BC13" s="217"/>
      <c r="BD13" s="217"/>
      <c r="BE13" s="217"/>
      <c r="BF13" s="217"/>
      <c r="BG13" s="217"/>
      <c r="BH13" s="217"/>
      <c r="BI13" s="217"/>
      <c r="BJ13" s="218"/>
      <c r="BK13" s="219"/>
      <c r="BL13" s="217"/>
      <c r="BM13" s="217"/>
      <c r="BN13" s="217"/>
      <c r="BO13" s="217"/>
      <c r="BP13" s="217"/>
      <c r="BQ13" s="217"/>
      <c r="BR13" s="217"/>
      <c r="BS13" s="217"/>
      <c r="BT13" s="217"/>
      <c r="BU13" s="217"/>
      <c r="BV13" s="217"/>
      <c r="BW13" s="217"/>
      <c r="BX13" s="217"/>
      <c r="BY13" s="217"/>
      <c r="BZ13" s="217"/>
      <c r="CA13" s="217"/>
      <c r="CB13" s="217"/>
      <c r="CC13" s="217"/>
      <c r="CD13" s="217"/>
      <c r="CE13" s="217"/>
      <c r="CF13" s="217"/>
      <c r="CG13" s="220"/>
      <c r="CH13" s="221"/>
      <c r="CI13" s="222"/>
      <c r="CJ13" s="222"/>
      <c r="CK13" s="223"/>
      <c r="CL13" s="219"/>
      <c r="CM13" s="217"/>
      <c r="CN13" s="217"/>
      <c r="CO13" s="217"/>
      <c r="CP13" s="217"/>
      <c r="CQ13" s="217"/>
      <c r="CR13" s="217"/>
      <c r="CS13" s="217"/>
      <c r="CT13" s="217"/>
      <c r="CU13" s="217"/>
      <c r="CV13" s="217"/>
      <c r="CW13" s="217"/>
      <c r="CX13" s="217"/>
      <c r="CY13" s="217"/>
      <c r="CZ13" s="217"/>
      <c r="DA13" s="217"/>
      <c r="DB13" s="217"/>
      <c r="DC13" s="217"/>
      <c r="DD13" s="217"/>
      <c r="DE13" s="218"/>
    </row>
    <row r="14" spans="4:109" ht="14.25" customHeight="1">
      <c r="D14" s="211"/>
      <c r="E14" s="212"/>
      <c r="F14" s="212"/>
      <c r="G14" s="212"/>
      <c r="H14" s="212"/>
      <c r="I14" s="213"/>
      <c r="J14" s="183" t="s">
        <v>105</v>
      </c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5"/>
      <c r="AN14" s="216"/>
      <c r="AO14" s="217"/>
      <c r="AP14" s="217"/>
      <c r="AQ14" s="217"/>
      <c r="AR14" s="217"/>
      <c r="AS14" s="217"/>
      <c r="AT14" s="217"/>
      <c r="AU14" s="217"/>
      <c r="AV14" s="217"/>
      <c r="AW14" s="217"/>
      <c r="AX14" s="217"/>
      <c r="AY14" s="217"/>
      <c r="AZ14" s="217"/>
      <c r="BA14" s="217"/>
      <c r="BB14" s="217"/>
      <c r="BC14" s="217"/>
      <c r="BD14" s="217"/>
      <c r="BE14" s="217"/>
      <c r="BF14" s="217"/>
      <c r="BG14" s="217"/>
      <c r="BH14" s="217"/>
      <c r="BI14" s="217"/>
      <c r="BJ14" s="218"/>
      <c r="BK14" s="219"/>
      <c r="BL14" s="217"/>
      <c r="BM14" s="217"/>
      <c r="BN14" s="217"/>
      <c r="BO14" s="217"/>
      <c r="BP14" s="217"/>
      <c r="BQ14" s="217"/>
      <c r="BR14" s="217"/>
      <c r="BS14" s="217"/>
      <c r="BT14" s="217"/>
      <c r="BU14" s="217"/>
      <c r="BV14" s="217"/>
      <c r="BW14" s="217"/>
      <c r="BX14" s="217"/>
      <c r="BY14" s="217"/>
      <c r="BZ14" s="217"/>
      <c r="CA14" s="217"/>
      <c r="CB14" s="217"/>
      <c r="CC14" s="217"/>
      <c r="CD14" s="217"/>
      <c r="CE14" s="217"/>
      <c r="CF14" s="217"/>
      <c r="CG14" s="220"/>
      <c r="CH14" s="221"/>
      <c r="CI14" s="222"/>
      <c r="CJ14" s="222"/>
      <c r="CK14" s="223"/>
      <c r="CL14" s="219"/>
      <c r="CM14" s="217"/>
      <c r="CN14" s="217"/>
      <c r="CO14" s="217"/>
      <c r="CP14" s="217"/>
      <c r="CQ14" s="217"/>
      <c r="CR14" s="217"/>
      <c r="CS14" s="217"/>
      <c r="CT14" s="217"/>
      <c r="CU14" s="217"/>
      <c r="CV14" s="217"/>
      <c r="CW14" s="217"/>
      <c r="CX14" s="217"/>
      <c r="CY14" s="217"/>
      <c r="CZ14" s="217"/>
      <c r="DA14" s="217"/>
      <c r="DB14" s="217"/>
      <c r="DC14" s="217"/>
      <c r="DD14" s="217"/>
      <c r="DE14" s="218"/>
    </row>
    <row r="15" spans="4:109" ht="15.75" customHeight="1">
      <c r="D15" s="211"/>
      <c r="E15" s="212"/>
      <c r="F15" s="212"/>
      <c r="G15" s="212"/>
      <c r="H15" s="212"/>
      <c r="I15" s="213"/>
      <c r="J15" s="183" t="s">
        <v>106</v>
      </c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5"/>
      <c r="AN15" s="216"/>
      <c r="AO15" s="217"/>
      <c r="AP15" s="217"/>
      <c r="AQ15" s="217"/>
      <c r="AR15" s="217"/>
      <c r="AS15" s="217"/>
      <c r="AT15" s="217"/>
      <c r="AU15" s="217"/>
      <c r="AV15" s="217"/>
      <c r="AW15" s="217"/>
      <c r="AX15" s="217"/>
      <c r="AY15" s="217"/>
      <c r="AZ15" s="217"/>
      <c r="BA15" s="217"/>
      <c r="BB15" s="217"/>
      <c r="BC15" s="217"/>
      <c r="BD15" s="217"/>
      <c r="BE15" s="217"/>
      <c r="BF15" s="217"/>
      <c r="BG15" s="217"/>
      <c r="BH15" s="217"/>
      <c r="BI15" s="217"/>
      <c r="BJ15" s="218"/>
      <c r="BK15" s="219"/>
      <c r="BL15" s="217"/>
      <c r="BM15" s="217"/>
      <c r="BN15" s="217"/>
      <c r="BO15" s="217"/>
      <c r="BP15" s="217"/>
      <c r="BQ15" s="217"/>
      <c r="BR15" s="217"/>
      <c r="BS15" s="217"/>
      <c r="BT15" s="217"/>
      <c r="BU15" s="217"/>
      <c r="BV15" s="217"/>
      <c r="BW15" s="217"/>
      <c r="BX15" s="217"/>
      <c r="BY15" s="217"/>
      <c r="BZ15" s="217"/>
      <c r="CA15" s="217"/>
      <c r="CB15" s="217"/>
      <c r="CC15" s="217"/>
      <c r="CD15" s="217"/>
      <c r="CE15" s="217"/>
      <c r="CF15" s="217"/>
      <c r="CG15" s="220"/>
      <c r="CH15" s="221"/>
      <c r="CI15" s="222"/>
      <c r="CJ15" s="222"/>
      <c r="CK15" s="223"/>
      <c r="CL15" s="219"/>
      <c r="CM15" s="217"/>
      <c r="CN15" s="217"/>
      <c r="CO15" s="217"/>
      <c r="CP15" s="217"/>
      <c r="CQ15" s="217"/>
      <c r="CR15" s="217"/>
      <c r="CS15" s="217"/>
      <c r="CT15" s="217"/>
      <c r="CU15" s="217"/>
      <c r="CV15" s="217"/>
      <c r="CW15" s="217"/>
      <c r="CX15" s="217"/>
      <c r="CY15" s="217"/>
      <c r="CZ15" s="217"/>
      <c r="DA15" s="217"/>
      <c r="DB15" s="217"/>
      <c r="DC15" s="217"/>
      <c r="DD15" s="217"/>
      <c r="DE15" s="218"/>
    </row>
    <row r="16" spans="4:109" ht="14.25" customHeight="1">
      <c r="D16" s="211"/>
      <c r="E16" s="212"/>
      <c r="F16" s="212"/>
      <c r="G16" s="212"/>
      <c r="H16" s="212"/>
      <c r="I16" s="213"/>
      <c r="J16" s="183" t="s">
        <v>107</v>
      </c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5"/>
      <c r="AN16" s="216"/>
      <c r="AO16" s="217"/>
      <c r="AP16" s="217"/>
      <c r="AQ16" s="217"/>
      <c r="AR16" s="217"/>
      <c r="AS16" s="217"/>
      <c r="AT16" s="217"/>
      <c r="AU16" s="217"/>
      <c r="AV16" s="217"/>
      <c r="AW16" s="217"/>
      <c r="AX16" s="217"/>
      <c r="AY16" s="217"/>
      <c r="AZ16" s="217"/>
      <c r="BA16" s="217"/>
      <c r="BB16" s="217"/>
      <c r="BC16" s="217"/>
      <c r="BD16" s="217"/>
      <c r="BE16" s="217"/>
      <c r="BF16" s="217"/>
      <c r="BG16" s="217"/>
      <c r="BH16" s="217"/>
      <c r="BI16" s="217"/>
      <c r="BJ16" s="218"/>
      <c r="BK16" s="219"/>
      <c r="BL16" s="217"/>
      <c r="BM16" s="217"/>
      <c r="BN16" s="217"/>
      <c r="BO16" s="217"/>
      <c r="BP16" s="217"/>
      <c r="BQ16" s="217"/>
      <c r="BR16" s="217"/>
      <c r="BS16" s="217"/>
      <c r="BT16" s="217"/>
      <c r="BU16" s="217"/>
      <c r="BV16" s="217"/>
      <c r="BW16" s="217"/>
      <c r="BX16" s="217"/>
      <c r="BY16" s="217"/>
      <c r="BZ16" s="217"/>
      <c r="CA16" s="217"/>
      <c r="CB16" s="217"/>
      <c r="CC16" s="217"/>
      <c r="CD16" s="217"/>
      <c r="CE16" s="217"/>
      <c r="CF16" s="217"/>
      <c r="CG16" s="220"/>
      <c r="CH16" s="221"/>
      <c r="CI16" s="222"/>
      <c r="CJ16" s="222"/>
      <c r="CK16" s="223"/>
      <c r="CL16" s="219"/>
      <c r="CM16" s="217"/>
      <c r="CN16" s="217"/>
      <c r="CO16" s="217"/>
      <c r="CP16" s="217"/>
      <c r="CQ16" s="217"/>
      <c r="CR16" s="217"/>
      <c r="CS16" s="217"/>
      <c r="CT16" s="217"/>
      <c r="CU16" s="217"/>
      <c r="CV16" s="217"/>
      <c r="CW16" s="217"/>
      <c r="CX16" s="217"/>
      <c r="CY16" s="217"/>
      <c r="CZ16" s="217"/>
      <c r="DA16" s="217"/>
      <c r="DB16" s="217"/>
      <c r="DC16" s="217"/>
      <c r="DD16" s="217"/>
      <c r="DE16" s="218"/>
    </row>
    <row r="17" spans="4:109" ht="15" customHeight="1">
      <c r="D17" s="211"/>
      <c r="E17" s="212"/>
      <c r="F17" s="212"/>
      <c r="G17" s="212"/>
      <c r="H17" s="212"/>
      <c r="I17" s="213"/>
      <c r="J17" s="183" t="s">
        <v>108</v>
      </c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5"/>
      <c r="AN17" s="216"/>
      <c r="AO17" s="217"/>
      <c r="AP17" s="217"/>
      <c r="AQ17" s="217"/>
      <c r="AR17" s="217"/>
      <c r="AS17" s="217"/>
      <c r="AT17" s="217"/>
      <c r="AU17" s="217"/>
      <c r="AV17" s="217"/>
      <c r="AW17" s="217"/>
      <c r="AX17" s="217"/>
      <c r="AY17" s="217"/>
      <c r="AZ17" s="217"/>
      <c r="BA17" s="217"/>
      <c r="BB17" s="217"/>
      <c r="BC17" s="217"/>
      <c r="BD17" s="217"/>
      <c r="BE17" s="217"/>
      <c r="BF17" s="217"/>
      <c r="BG17" s="217"/>
      <c r="BH17" s="217"/>
      <c r="BI17" s="217"/>
      <c r="BJ17" s="218"/>
      <c r="BK17" s="219"/>
      <c r="BL17" s="217"/>
      <c r="BM17" s="217"/>
      <c r="BN17" s="217"/>
      <c r="BO17" s="217"/>
      <c r="BP17" s="217"/>
      <c r="BQ17" s="217"/>
      <c r="BR17" s="217"/>
      <c r="BS17" s="217"/>
      <c r="BT17" s="217"/>
      <c r="BU17" s="217"/>
      <c r="BV17" s="217"/>
      <c r="BW17" s="217"/>
      <c r="BX17" s="217"/>
      <c r="BY17" s="217"/>
      <c r="BZ17" s="217"/>
      <c r="CA17" s="217"/>
      <c r="CB17" s="217"/>
      <c r="CC17" s="217"/>
      <c r="CD17" s="217"/>
      <c r="CE17" s="217"/>
      <c r="CF17" s="217"/>
      <c r="CG17" s="220"/>
      <c r="CH17" s="221"/>
      <c r="CI17" s="222"/>
      <c r="CJ17" s="222"/>
      <c r="CK17" s="223"/>
      <c r="CL17" s="219"/>
      <c r="CM17" s="217"/>
      <c r="CN17" s="217"/>
      <c r="CO17" s="217"/>
      <c r="CP17" s="217"/>
      <c r="CQ17" s="217"/>
      <c r="CR17" s="217"/>
      <c r="CS17" s="217"/>
      <c r="CT17" s="217"/>
      <c r="CU17" s="217"/>
      <c r="CV17" s="217"/>
      <c r="CW17" s="217"/>
      <c r="CX17" s="217"/>
      <c r="CY17" s="217"/>
      <c r="CZ17" s="217"/>
      <c r="DA17" s="217"/>
      <c r="DB17" s="217"/>
      <c r="DC17" s="217"/>
      <c r="DD17" s="217"/>
      <c r="DE17" s="218"/>
    </row>
    <row r="18" spans="4:109" ht="24" customHeight="1">
      <c r="D18" s="224"/>
      <c r="E18" s="225"/>
      <c r="F18" s="225"/>
      <c r="G18" s="225"/>
      <c r="H18" s="225"/>
      <c r="I18" s="226"/>
      <c r="J18" s="245" t="s">
        <v>109</v>
      </c>
      <c r="K18" s="246"/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/>
      <c r="Y18" s="246"/>
      <c r="Z18" s="246"/>
      <c r="AA18" s="246"/>
      <c r="AB18" s="246"/>
      <c r="AC18" s="246"/>
      <c r="AD18" s="246"/>
      <c r="AE18" s="246"/>
      <c r="AF18" s="246"/>
      <c r="AG18" s="246"/>
      <c r="AH18" s="246"/>
      <c r="AI18" s="246"/>
      <c r="AJ18" s="246"/>
      <c r="AK18" s="246"/>
      <c r="AL18" s="246"/>
      <c r="AM18" s="247"/>
      <c r="AN18" s="236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  <c r="BJ18" s="228"/>
      <c r="BK18" s="227"/>
      <c r="BL18" s="227"/>
      <c r="BM18" s="227"/>
      <c r="BN18" s="227"/>
      <c r="BO18" s="227"/>
      <c r="BP18" s="227"/>
      <c r="BQ18" s="227"/>
      <c r="BR18" s="227"/>
      <c r="BS18" s="227"/>
      <c r="BT18" s="227"/>
      <c r="BU18" s="227"/>
      <c r="BV18" s="227"/>
      <c r="BW18" s="227"/>
      <c r="BX18" s="227"/>
      <c r="BY18" s="227"/>
      <c r="BZ18" s="227"/>
      <c r="CA18" s="227"/>
      <c r="CB18" s="227"/>
      <c r="CC18" s="227"/>
      <c r="CD18" s="227"/>
      <c r="CE18" s="227"/>
      <c r="CF18" s="227"/>
      <c r="CG18" s="227"/>
      <c r="CH18" s="224"/>
      <c r="CI18" s="225"/>
      <c r="CJ18" s="225"/>
      <c r="CK18" s="226"/>
      <c r="CL18" s="227"/>
      <c r="CM18" s="227"/>
      <c r="CN18" s="227"/>
      <c r="CO18" s="227"/>
      <c r="CP18" s="227"/>
      <c r="CQ18" s="227"/>
      <c r="CR18" s="227"/>
      <c r="CS18" s="227"/>
      <c r="CT18" s="227"/>
      <c r="CU18" s="227"/>
      <c r="CV18" s="227"/>
      <c r="CW18" s="227"/>
      <c r="CX18" s="227"/>
      <c r="CY18" s="227"/>
      <c r="CZ18" s="227"/>
      <c r="DA18" s="227"/>
      <c r="DB18" s="227"/>
      <c r="DC18" s="227"/>
      <c r="DD18" s="227"/>
      <c r="DE18" s="228"/>
    </row>
    <row r="19" spans="4:109" ht="20.25" customHeight="1">
      <c r="D19" s="229" t="s">
        <v>110</v>
      </c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30"/>
      <c r="S19" s="230"/>
      <c r="T19" s="230"/>
      <c r="U19" s="230"/>
      <c r="V19" s="230"/>
      <c r="W19" s="230"/>
      <c r="X19" s="230"/>
      <c r="Y19" s="230"/>
      <c r="Z19" s="230"/>
      <c r="AA19" s="230"/>
      <c r="AB19" s="230"/>
      <c r="AC19" s="230"/>
      <c r="AD19" s="230"/>
      <c r="AE19" s="230"/>
      <c r="AF19" s="230"/>
      <c r="AG19" s="230"/>
      <c r="AH19" s="230"/>
      <c r="AI19" s="230"/>
      <c r="AJ19" s="230"/>
      <c r="AK19" s="230"/>
      <c r="AL19" s="230"/>
      <c r="AM19" s="230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5"/>
    </row>
    <row r="20" spans="4:109" ht="18.75" customHeight="1">
      <c r="D20" s="231" t="s">
        <v>111</v>
      </c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2"/>
      <c r="W20" s="232"/>
      <c r="X20" s="232"/>
      <c r="Y20" s="232"/>
      <c r="Z20" s="232"/>
      <c r="AA20" s="232"/>
      <c r="AB20" s="232"/>
      <c r="AC20" s="232"/>
      <c r="AD20" s="232"/>
      <c r="AE20" s="232"/>
      <c r="AF20" s="232"/>
      <c r="AG20" s="232"/>
      <c r="AH20" s="232"/>
      <c r="AI20" s="232"/>
      <c r="AJ20" s="232"/>
      <c r="AK20" s="232"/>
      <c r="AL20" s="232"/>
      <c r="AM20" s="232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5"/>
    </row>
    <row r="21" spans="4:109" ht="12.75" customHeight="1">
      <c r="D21" s="169" t="s">
        <v>45</v>
      </c>
      <c r="E21" s="170"/>
      <c r="F21" s="170"/>
      <c r="G21" s="170"/>
      <c r="H21" s="170"/>
      <c r="I21" s="170"/>
      <c r="J21" s="169" t="s">
        <v>121</v>
      </c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94"/>
      <c r="AM21" s="169" t="s">
        <v>122</v>
      </c>
      <c r="AN21" s="170"/>
      <c r="AO21" s="170"/>
      <c r="AP21" s="170"/>
      <c r="AQ21" s="170"/>
      <c r="AR21" s="170"/>
      <c r="AS21" s="170"/>
      <c r="AT21" s="170"/>
      <c r="AU21" s="170"/>
      <c r="AV21" s="170"/>
      <c r="AW21" s="170"/>
      <c r="AX21" s="170"/>
      <c r="AY21" s="170"/>
      <c r="AZ21" s="170"/>
      <c r="BA21" s="170"/>
      <c r="BB21" s="170"/>
      <c r="BC21" s="170"/>
      <c r="BD21" s="170"/>
      <c r="BE21" s="170"/>
      <c r="BF21" s="170"/>
      <c r="BG21" s="170"/>
      <c r="BH21" s="170"/>
      <c r="BI21" s="170"/>
      <c r="BJ21" s="194"/>
      <c r="BK21" s="248" t="s">
        <v>127</v>
      </c>
      <c r="BL21" s="248"/>
      <c r="BM21" s="248"/>
      <c r="BN21" s="248"/>
      <c r="BO21" s="248"/>
      <c r="BP21" s="248"/>
      <c r="BQ21" s="248"/>
      <c r="BR21" s="248"/>
      <c r="BS21" s="248"/>
      <c r="BT21" s="248"/>
      <c r="BU21" s="248"/>
      <c r="BV21" s="248"/>
      <c r="BW21" s="248"/>
      <c r="BX21" s="248"/>
      <c r="BY21" s="248"/>
      <c r="BZ21" s="248"/>
      <c r="CA21" s="248"/>
      <c r="CB21" s="248"/>
      <c r="CC21" s="248"/>
      <c r="CD21" s="248"/>
      <c r="CE21" s="248"/>
      <c r="CF21" s="248"/>
      <c r="CG21" s="248"/>
      <c r="CH21" s="169" t="s">
        <v>92</v>
      </c>
      <c r="CI21" s="170"/>
      <c r="CJ21" s="170"/>
      <c r="CK21" s="194"/>
      <c r="CL21" s="248" t="s">
        <v>123</v>
      </c>
      <c r="CM21" s="248"/>
      <c r="CN21" s="248"/>
      <c r="CO21" s="248"/>
      <c r="CP21" s="248"/>
      <c r="CQ21" s="248"/>
      <c r="CR21" s="248"/>
      <c r="CS21" s="248"/>
      <c r="CT21" s="248"/>
      <c r="CU21" s="248"/>
      <c r="CV21" s="248"/>
      <c r="CW21" s="248"/>
      <c r="CX21" s="248"/>
      <c r="CY21" s="248"/>
      <c r="CZ21" s="248"/>
      <c r="DA21" s="248"/>
      <c r="DB21" s="248"/>
      <c r="DC21" s="248"/>
      <c r="DD21" s="248"/>
      <c r="DE21" s="250"/>
    </row>
    <row r="22" spans="4:109" ht="13.5" customHeight="1">
      <c r="D22" s="196"/>
      <c r="E22" s="197"/>
      <c r="F22" s="197"/>
      <c r="G22" s="197"/>
      <c r="H22" s="197"/>
      <c r="I22" s="197"/>
      <c r="J22" s="196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8"/>
      <c r="AM22" s="196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197"/>
      <c r="BA22" s="197"/>
      <c r="BB22" s="197"/>
      <c r="BC22" s="197"/>
      <c r="BD22" s="197"/>
      <c r="BE22" s="197"/>
      <c r="BF22" s="197"/>
      <c r="BG22" s="197"/>
      <c r="BH22" s="197"/>
      <c r="BI22" s="197"/>
      <c r="BJ22" s="198"/>
      <c r="BK22" s="249"/>
      <c r="BL22" s="249"/>
      <c r="BM22" s="249"/>
      <c r="BN22" s="249"/>
      <c r="BO22" s="249"/>
      <c r="BP22" s="249"/>
      <c r="BQ22" s="249"/>
      <c r="BR22" s="249"/>
      <c r="BS22" s="249"/>
      <c r="BT22" s="249"/>
      <c r="BU22" s="249"/>
      <c r="BV22" s="249"/>
      <c r="BW22" s="249"/>
      <c r="BX22" s="249"/>
      <c r="BY22" s="249"/>
      <c r="BZ22" s="249"/>
      <c r="CA22" s="249"/>
      <c r="CB22" s="249"/>
      <c r="CC22" s="249"/>
      <c r="CD22" s="249"/>
      <c r="CE22" s="249"/>
      <c r="CF22" s="249"/>
      <c r="CG22" s="249"/>
      <c r="CH22" s="196" t="s">
        <v>93</v>
      </c>
      <c r="CI22" s="197"/>
      <c r="CJ22" s="197"/>
      <c r="CK22" s="198"/>
      <c r="CL22" s="249"/>
      <c r="CM22" s="249"/>
      <c r="CN22" s="249"/>
      <c r="CO22" s="249"/>
      <c r="CP22" s="249"/>
      <c r="CQ22" s="249"/>
      <c r="CR22" s="249"/>
      <c r="CS22" s="249"/>
      <c r="CT22" s="249"/>
      <c r="CU22" s="249"/>
      <c r="CV22" s="249"/>
      <c r="CW22" s="249"/>
      <c r="CX22" s="249"/>
      <c r="CY22" s="249"/>
      <c r="CZ22" s="249"/>
      <c r="DA22" s="249"/>
      <c r="DB22" s="249"/>
      <c r="DC22" s="249"/>
      <c r="DD22" s="249"/>
      <c r="DE22" s="251"/>
    </row>
    <row r="23" spans="4:109" ht="12" customHeight="1">
      <c r="D23" s="169"/>
      <c r="E23" s="170"/>
      <c r="F23" s="170"/>
      <c r="G23" s="170"/>
      <c r="H23" s="170"/>
      <c r="I23" s="170"/>
      <c r="J23" s="254" t="s">
        <v>112</v>
      </c>
      <c r="K23" s="255"/>
      <c r="L23" s="255"/>
      <c r="M23" s="255"/>
      <c r="N23" s="255"/>
      <c r="O23" s="255"/>
      <c r="P23" s="255"/>
      <c r="Q23" s="255"/>
      <c r="R23" s="255"/>
      <c r="S23" s="255"/>
      <c r="T23" s="255"/>
      <c r="U23" s="255"/>
      <c r="V23" s="255"/>
      <c r="W23" s="255"/>
      <c r="X23" s="255"/>
      <c r="Y23" s="255"/>
      <c r="Z23" s="255"/>
      <c r="AA23" s="255"/>
      <c r="AB23" s="255"/>
      <c r="AC23" s="255"/>
      <c r="AD23" s="255"/>
      <c r="AE23" s="255"/>
      <c r="AF23" s="255"/>
      <c r="AG23" s="255"/>
      <c r="AH23" s="255"/>
      <c r="AI23" s="255"/>
      <c r="AJ23" s="255"/>
      <c r="AK23" s="255"/>
      <c r="AL23" s="255"/>
      <c r="AM23" s="256"/>
      <c r="AN23" s="257"/>
      <c r="AO23" s="257"/>
      <c r="AP23" s="257"/>
      <c r="AQ23" s="257"/>
      <c r="AR23" s="257"/>
      <c r="AS23" s="257"/>
      <c r="AT23" s="257"/>
      <c r="AU23" s="257"/>
      <c r="AV23" s="257"/>
      <c r="AW23" s="257"/>
      <c r="AX23" s="257"/>
      <c r="AY23" s="257"/>
      <c r="AZ23" s="257"/>
      <c r="BA23" s="257"/>
      <c r="BB23" s="257"/>
      <c r="BC23" s="257"/>
      <c r="BD23" s="257"/>
      <c r="BE23" s="257"/>
      <c r="BF23" s="257"/>
      <c r="BG23" s="257"/>
      <c r="BH23" s="257"/>
      <c r="BI23" s="257"/>
      <c r="BJ23" s="258"/>
      <c r="BK23" s="257"/>
      <c r="BL23" s="257"/>
      <c r="BM23" s="257"/>
      <c r="BN23" s="257"/>
      <c r="BO23" s="257"/>
      <c r="BP23" s="257"/>
      <c r="BQ23" s="257"/>
      <c r="BR23" s="257"/>
      <c r="BS23" s="257"/>
      <c r="BT23" s="257"/>
      <c r="BU23" s="257"/>
      <c r="BV23" s="257"/>
      <c r="BW23" s="257"/>
      <c r="BX23" s="257"/>
      <c r="BY23" s="257"/>
      <c r="BZ23" s="257"/>
      <c r="CA23" s="257"/>
      <c r="CB23" s="257"/>
      <c r="CC23" s="257"/>
      <c r="CD23" s="257"/>
      <c r="CE23" s="257"/>
      <c r="CF23" s="257"/>
      <c r="CG23" s="257"/>
      <c r="CH23" s="262">
        <v>0.03</v>
      </c>
      <c r="CI23" s="170"/>
      <c r="CJ23" s="170"/>
      <c r="CK23" s="194"/>
      <c r="CL23" s="257">
        <f>BK23*CH23</f>
        <v>0</v>
      </c>
      <c r="CM23" s="257"/>
      <c r="CN23" s="257"/>
      <c r="CO23" s="257"/>
      <c r="CP23" s="257"/>
      <c r="CQ23" s="257"/>
      <c r="CR23" s="257"/>
      <c r="CS23" s="257"/>
      <c r="CT23" s="257"/>
      <c r="CU23" s="257"/>
      <c r="CV23" s="257"/>
      <c r="CW23" s="257"/>
      <c r="CX23" s="257"/>
      <c r="CY23" s="257"/>
      <c r="CZ23" s="257"/>
      <c r="DA23" s="257"/>
      <c r="DB23" s="257"/>
      <c r="DC23" s="257"/>
      <c r="DD23" s="257"/>
      <c r="DE23" s="258"/>
    </row>
    <row r="24" spans="4:109" ht="12" customHeight="1">
      <c r="D24" s="171"/>
      <c r="E24" s="172"/>
      <c r="F24" s="172"/>
      <c r="G24" s="172"/>
      <c r="H24" s="172"/>
      <c r="I24" s="172"/>
      <c r="J24" s="252" t="s">
        <v>101</v>
      </c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  <c r="AA24" s="253"/>
      <c r="AB24" s="253"/>
      <c r="AC24" s="253"/>
      <c r="AD24" s="253"/>
      <c r="AE24" s="253"/>
      <c r="AF24" s="253"/>
      <c r="AG24" s="253"/>
      <c r="AH24" s="253"/>
      <c r="AI24" s="253"/>
      <c r="AJ24" s="253"/>
      <c r="AK24" s="253"/>
      <c r="AL24" s="253"/>
      <c r="AM24" s="259"/>
      <c r="AN24" s="260"/>
      <c r="AO24" s="260"/>
      <c r="AP24" s="260"/>
      <c r="AQ24" s="260"/>
      <c r="AR24" s="260"/>
      <c r="AS24" s="260"/>
      <c r="AT24" s="260"/>
      <c r="AU24" s="260"/>
      <c r="AV24" s="260"/>
      <c r="AW24" s="260"/>
      <c r="AX24" s="260"/>
      <c r="AY24" s="260"/>
      <c r="AZ24" s="260"/>
      <c r="BA24" s="260"/>
      <c r="BB24" s="260"/>
      <c r="BC24" s="260"/>
      <c r="BD24" s="260"/>
      <c r="BE24" s="260"/>
      <c r="BF24" s="260"/>
      <c r="BG24" s="260"/>
      <c r="BH24" s="260"/>
      <c r="BI24" s="260"/>
      <c r="BJ24" s="261"/>
      <c r="BK24" s="260"/>
      <c r="BL24" s="260"/>
      <c r="BM24" s="260"/>
      <c r="BN24" s="260"/>
      <c r="BO24" s="260"/>
      <c r="BP24" s="260"/>
      <c r="BQ24" s="260"/>
      <c r="BR24" s="260"/>
      <c r="BS24" s="260"/>
      <c r="BT24" s="260"/>
      <c r="BU24" s="260"/>
      <c r="BV24" s="260"/>
      <c r="BW24" s="260"/>
      <c r="BX24" s="260"/>
      <c r="BY24" s="260"/>
      <c r="BZ24" s="260"/>
      <c r="CA24" s="260"/>
      <c r="CB24" s="260"/>
      <c r="CC24" s="260"/>
      <c r="CD24" s="260"/>
      <c r="CE24" s="260"/>
      <c r="CF24" s="260"/>
      <c r="CG24" s="260"/>
      <c r="CH24" s="171"/>
      <c r="CI24" s="172"/>
      <c r="CJ24" s="172"/>
      <c r="CK24" s="195"/>
      <c r="CL24" s="260"/>
      <c r="CM24" s="260"/>
      <c r="CN24" s="260"/>
      <c r="CO24" s="260"/>
      <c r="CP24" s="260"/>
      <c r="CQ24" s="260"/>
      <c r="CR24" s="260"/>
      <c r="CS24" s="260"/>
      <c r="CT24" s="260"/>
      <c r="CU24" s="260"/>
      <c r="CV24" s="260"/>
      <c r="CW24" s="260"/>
      <c r="CX24" s="260"/>
      <c r="CY24" s="260"/>
      <c r="CZ24" s="260"/>
      <c r="DA24" s="260"/>
      <c r="DB24" s="260"/>
      <c r="DC24" s="260"/>
      <c r="DD24" s="260"/>
      <c r="DE24" s="261"/>
    </row>
    <row r="25" spans="4:109" ht="13.5" customHeight="1">
      <c r="D25" s="171"/>
      <c r="E25" s="172"/>
      <c r="F25" s="172"/>
      <c r="G25" s="172"/>
      <c r="H25" s="172"/>
      <c r="I25" s="172"/>
      <c r="J25" s="242" t="s">
        <v>115</v>
      </c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  <c r="AK25" s="243"/>
      <c r="AL25" s="244"/>
      <c r="AM25" s="269"/>
      <c r="AN25" s="270"/>
      <c r="AO25" s="270"/>
      <c r="AP25" s="270"/>
      <c r="AQ25" s="270"/>
      <c r="AR25" s="270"/>
      <c r="AS25" s="270"/>
      <c r="AT25" s="270"/>
      <c r="AU25" s="270"/>
      <c r="AV25" s="270"/>
      <c r="AW25" s="270"/>
      <c r="AX25" s="270"/>
      <c r="AY25" s="270"/>
      <c r="AZ25" s="270"/>
      <c r="BA25" s="270"/>
      <c r="BB25" s="270"/>
      <c r="BC25" s="270"/>
      <c r="BD25" s="270"/>
      <c r="BE25" s="270"/>
      <c r="BF25" s="270"/>
      <c r="BG25" s="270"/>
      <c r="BH25" s="270"/>
      <c r="BI25" s="270"/>
      <c r="BJ25" s="271"/>
      <c r="BK25" s="272"/>
      <c r="BL25" s="270"/>
      <c r="BM25" s="270"/>
      <c r="BN25" s="270"/>
      <c r="BO25" s="270"/>
      <c r="BP25" s="270"/>
      <c r="BQ25" s="270"/>
      <c r="BR25" s="270"/>
      <c r="BS25" s="270"/>
      <c r="BT25" s="270"/>
      <c r="BU25" s="270"/>
      <c r="BV25" s="270"/>
      <c r="BW25" s="270"/>
      <c r="BX25" s="270"/>
      <c r="BY25" s="270"/>
      <c r="BZ25" s="270"/>
      <c r="CA25" s="270"/>
      <c r="CB25" s="270"/>
      <c r="CC25" s="270"/>
      <c r="CD25" s="270"/>
      <c r="CE25" s="270"/>
      <c r="CF25" s="270"/>
      <c r="CG25" s="273"/>
      <c r="CH25" s="274"/>
      <c r="CI25" s="275"/>
      <c r="CJ25" s="275"/>
      <c r="CK25" s="276"/>
      <c r="CL25" s="272"/>
      <c r="CM25" s="270"/>
      <c r="CN25" s="270"/>
      <c r="CO25" s="270"/>
      <c r="CP25" s="270"/>
      <c r="CQ25" s="270"/>
      <c r="CR25" s="270"/>
      <c r="CS25" s="270"/>
      <c r="CT25" s="270"/>
      <c r="CU25" s="270"/>
      <c r="CV25" s="270"/>
      <c r="CW25" s="270"/>
      <c r="CX25" s="270"/>
      <c r="CY25" s="270"/>
      <c r="CZ25" s="270"/>
      <c r="DA25" s="270"/>
      <c r="DB25" s="270"/>
      <c r="DC25" s="270"/>
      <c r="DD25" s="270"/>
      <c r="DE25" s="271"/>
    </row>
    <row r="26" spans="4:109" ht="15.75" customHeight="1">
      <c r="D26" s="171"/>
      <c r="E26" s="172"/>
      <c r="F26" s="172"/>
      <c r="G26" s="172"/>
      <c r="H26" s="172"/>
      <c r="I26" s="172"/>
      <c r="J26" s="242" t="s">
        <v>116</v>
      </c>
      <c r="K26" s="243"/>
      <c r="L26" s="243"/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  <c r="AK26" s="243"/>
      <c r="AL26" s="244"/>
      <c r="AM26" s="269"/>
      <c r="AN26" s="270"/>
      <c r="AO26" s="270"/>
      <c r="AP26" s="270"/>
      <c r="AQ26" s="270"/>
      <c r="AR26" s="270"/>
      <c r="AS26" s="270"/>
      <c r="AT26" s="270"/>
      <c r="AU26" s="270"/>
      <c r="AV26" s="270"/>
      <c r="AW26" s="270"/>
      <c r="AX26" s="270"/>
      <c r="AY26" s="270"/>
      <c r="AZ26" s="270"/>
      <c r="BA26" s="270"/>
      <c r="BB26" s="270"/>
      <c r="BC26" s="270"/>
      <c r="BD26" s="270"/>
      <c r="BE26" s="270"/>
      <c r="BF26" s="270"/>
      <c r="BG26" s="270"/>
      <c r="BH26" s="270"/>
      <c r="BI26" s="270"/>
      <c r="BJ26" s="271"/>
      <c r="BK26" s="272"/>
      <c r="BL26" s="270"/>
      <c r="BM26" s="270"/>
      <c r="BN26" s="270"/>
      <c r="BO26" s="270"/>
      <c r="BP26" s="270"/>
      <c r="BQ26" s="270"/>
      <c r="BR26" s="270"/>
      <c r="BS26" s="270"/>
      <c r="BT26" s="270"/>
      <c r="BU26" s="270"/>
      <c r="BV26" s="270"/>
      <c r="BW26" s="270"/>
      <c r="BX26" s="270"/>
      <c r="BY26" s="270"/>
      <c r="BZ26" s="270"/>
      <c r="CA26" s="270"/>
      <c r="CB26" s="270"/>
      <c r="CC26" s="270"/>
      <c r="CD26" s="270"/>
      <c r="CE26" s="270"/>
      <c r="CF26" s="270"/>
      <c r="CG26" s="273"/>
      <c r="CH26" s="274"/>
      <c r="CI26" s="275"/>
      <c r="CJ26" s="275"/>
      <c r="CK26" s="276"/>
      <c r="CL26" s="272"/>
      <c r="CM26" s="270"/>
      <c r="CN26" s="270"/>
      <c r="CO26" s="270"/>
      <c r="CP26" s="270"/>
      <c r="CQ26" s="270"/>
      <c r="CR26" s="270"/>
      <c r="CS26" s="270"/>
      <c r="CT26" s="270"/>
      <c r="CU26" s="270"/>
      <c r="CV26" s="270"/>
      <c r="CW26" s="270"/>
      <c r="CX26" s="270"/>
      <c r="CY26" s="270"/>
      <c r="CZ26" s="270"/>
      <c r="DA26" s="270"/>
      <c r="DB26" s="270"/>
      <c r="DC26" s="270"/>
      <c r="DD26" s="270"/>
      <c r="DE26" s="271"/>
    </row>
    <row r="27" spans="4:109" ht="15" customHeight="1">
      <c r="D27" s="171"/>
      <c r="E27" s="172"/>
      <c r="F27" s="172"/>
      <c r="G27" s="172"/>
      <c r="H27" s="172"/>
      <c r="I27" s="172"/>
      <c r="J27" s="263" t="s">
        <v>125</v>
      </c>
      <c r="K27" s="264"/>
      <c r="L27" s="264"/>
      <c r="M27" s="264"/>
      <c r="N27" s="264"/>
      <c r="O27" s="264"/>
      <c r="P27" s="264"/>
      <c r="Q27" s="264"/>
      <c r="R27" s="264"/>
      <c r="S27" s="264"/>
      <c r="T27" s="264"/>
      <c r="U27" s="264"/>
      <c r="V27" s="264"/>
      <c r="W27" s="264"/>
      <c r="X27" s="264"/>
      <c r="Y27" s="264"/>
      <c r="Z27" s="264"/>
      <c r="AA27" s="264"/>
      <c r="AB27" s="264"/>
      <c r="AC27" s="264"/>
      <c r="AD27" s="264"/>
      <c r="AE27" s="264"/>
      <c r="AF27" s="264"/>
      <c r="AG27" s="264"/>
      <c r="AH27" s="264"/>
      <c r="AI27" s="264"/>
      <c r="AJ27" s="264"/>
      <c r="AK27" s="264"/>
      <c r="AL27" s="265"/>
      <c r="AM27" s="269"/>
      <c r="AN27" s="270"/>
      <c r="AO27" s="270"/>
      <c r="AP27" s="270"/>
      <c r="AQ27" s="270"/>
      <c r="AR27" s="270"/>
      <c r="AS27" s="270"/>
      <c r="AT27" s="270"/>
      <c r="AU27" s="270"/>
      <c r="AV27" s="270"/>
      <c r="AW27" s="270"/>
      <c r="AX27" s="270"/>
      <c r="AY27" s="270"/>
      <c r="AZ27" s="270"/>
      <c r="BA27" s="270"/>
      <c r="BB27" s="270"/>
      <c r="BC27" s="270"/>
      <c r="BD27" s="270"/>
      <c r="BE27" s="270"/>
      <c r="BF27" s="270"/>
      <c r="BG27" s="270"/>
      <c r="BH27" s="270"/>
      <c r="BI27" s="270"/>
      <c r="BJ27" s="271"/>
      <c r="BK27" s="272"/>
      <c r="BL27" s="270"/>
      <c r="BM27" s="270"/>
      <c r="BN27" s="270"/>
      <c r="BO27" s="270"/>
      <c r="BP27" s="270"/>
      <c r="BQ27" s="270"/>
      <c r="BR27" s="270"/>
      <c r="BS27" s="270"/>
      <c r="BT27" s="270"/>
      <c r="BU27" s="270"/>
      <c r="BV27" s="270"/>
      <c r="BW27" s="270"/>
      <c r="BX27" s="270"/>
      <c r="BY27" s="270"/>
      <c r="BZ27" s="270"/>
      <c r="CA27" s="270"/>
      <c r="CB27" s="270"/>
      <c r="CC27" s="270"/>
      <c r="CD27" s="270"/>
      <c r="CE27" s="270"/>
      <c r="CF27" s="270"/>
      <c r="CG27" s="273"/>
      <c r="CH27" s="274"/>
      <c r="CI27" s="275"/>
      <c r="CJ27" s="275"/>
      <c r="CK27" s="276"/>
      <c r="CL27" s="272"/>
      <c r="CM27" s="270"/>
      <c r="CN27" s="270"/>
      <c r="CO27" s="270"/>
      <c r="CP27" s="270"/>
      <c r="CQ27" s="270"/>
      <c r="CR27" s="270"/>
      <c r="CS27" s="270"/>
      <c r="CT27" s="270"/>
      <c r="CU27" s="270"/>
      <c r="CV27" s="270"/>
      <c r="CW27" s="270"/>
      <c r="CX27" s="270"/>
      <c r="CY27" s="270"/>
      <c r="CZ27" s="270"/>
      <c r="DA27" s="270"/>
      <c r="DB27" s="270"/>
      <c r="DC27" s="270"/>
      <c r="DD27" s="270"/>
      <c r="DE27" s="271"/>
    </row>
    <row r="28" spans="4:109" ht="15">
      <c r="D28" s="171"/>
      <c r="E28" s="172"/>
      <c r="F28" s="172"/>
      <c r="G28" s="172"/>
      <c r="H28" s="172"/>
      <c r="I28" s="172"/>
      <c r="J28" s="242" t="s">
        <v>126</v>
      </c>
      <c r="K28" s="243"/>
      <c r="L28" s="243"/>
      <c r="M28" s="243"/>
      <c r="N28" s="243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  <c r="AK28" s="243"/>
      <c r="AL28" s="244"/>
      <c r="AM28" s="269"/>
      <c r="AN28" s="270"/>
      <c r="AO28" s="270"/>
      <c r="AP28" s="270"/>
      <c r="AQ28" s="270"/>
      <c r="AR28" s="270"/>
      <c r="AS28" s="270"/>
      <c r="AT28" s="270"/>
      <c r="AU28" s="270"/>
      <c r="AV28" s="270"/>
      <c r="AW28" s="270"/>
      <c r="AX28" s="270"/>
      <c r="AY28" s="270"/>
      <c r="AZ28" s="270"/>
      <c r="BA28" s="270"/>
      <c r="BB28" s="270"/>
      <c r="BC28" s="270"/>
      <c r="BD28" s="270"/>
      <c r="BE28" s="270"/>
      <c r="BF28" s="270"/>
      <c r="BG28" s="270"/>
      <c r="BH28" s="270"/>
      <c r="BI28" s="270"/>
      <c r="BJ28" s="271"/>
      <c r="BK28" s="272"/>
      <c r="BL28" s="270"/>
      <c r="BM28" s="270"/>
      <c r="BN28" s="270"/>
      <c r="BO28" s="270"/>
      <c r="BP28" s="270"/>
      <c r="BQ28" s="270"/>
      <c r="BR28" s="270"/>
      <c r="BS28" s="270"/>
      <c r="BT28" s="270"/>
      <c r="BU28" s="270"/>
      <c r="BV28" s="270"/>
      <c r="BW28" s="270"/>
      <c r="BX28" s="270"/>
      <c r="BY28" s="270"/>
      <c r="BZ28" s="270"/>
      <c r="CA28" s="270"/>
      <c r="CB28" s="270"/>
      <c r="CC28" s="270"/>
      <c r="CD28" s="270"/>
      <c r="CE28" s="270"/>
      <c r="CF28" s="270"/>
      <c r="CG28" s="273"/>
      <c r="CH28" s="274"/>
      <c r="CI28" s="275"/>
      <c r="CJ28" s="275"/>
      <c r="CK28" s="276"/>
      <c r="CL28" s="272"/>
      <c r="CM28" s="270"/>
      <c r="CN28" s="270"/>
      <c r="CO28" s="270"/>
      <c r="CP28" s="270"/>
      <c r="CQ28" s="270"/>
      <c r="CR28" s="270"/>
      <c r="CS28" s="270"/>
      <c r="CT28" s="270"/>
      <c r="CU28" s="270"/>
      <c r="CV28" s="270"/>
      <c r="CW28" s="270"/>
      <c r="CX28" s="270"/>
      <c r="CY28" s="270"/>
      <c r="CZ28" s="270"/>
      <c r="DA28" s="270"/>
      <c r="DB28" s="270"/>
      <c r="DC28" s="270"/>
      <c r="DD28" s="270"/>
      <c r="DE28" s="271"/>
    </row>
    <row r="29" spans="4:109" ht="15.75" customHeight="1">
      <c r="D29" s="171"/>
      <c r="E29" s="172"/>
      <c r="F29" s="172"/>
      <c r="G29" s="172"/>
      <c r="H29" s="172"/>
      <c r="I29" s="172"/>
      <c r="J29" s="266" t="s">
        <v>113</v>
      </c>
      <c r="K29" s="267"/>
      <c r="L29" s="267"/>
      <c r="M29" s="267"/>
      <c r="N29" s="267"/>
      <c r="O29" s="267"/>
      <c r="P29" s="267"/>
      <c r="Q29" s="267"/>
      <c r="R29" s="267"/>
      <c r="S29" s="267"/>
      <c r="T29" s="267"/>
      <c r="U29" s="267"/>
      <c r="V29" s="267"/>
      <c r="W29" s="267"/>
      <c r="X29" s="267"/>
      <c r="Y29" s="267"/>
      <c r="Z29" s="267"/>
      <c r="AA29" s="267"/>
      <c r="AB29" s="267"/>
      <c r="AC29" s="267"/>
      <c r="AD29" s="267"/>
      <c r="AE29" s="267"/>
      <c r="AF29" s="267"/>
      <c r="AG29" s="267"/>
      <c r="AH29" s="267"/>
      <c r="AI29" s="267"/>
      <c r="AJ29" s="267"/>
      <c r="AK29" s="267"/>
      <c r="AL29" s="268"/>
      <c r="AM29" s="269"/>
      <c r="AN29" s="270"/>
      <c r="AO29" s="270"/>
      <c r="AP29" s="270"/>
      <c r="AQ29" s="270"/>
      <c r="AR29" s="270"/>
      <c r="AS29" s="270"/>
      <c r="AT29" s="270"/>
      <c r="AU29" s="270"/>
      <c r="AV29" s="270"/>
      <c r="AW29" s="270"/>
      <c r="AX29" s="270"/>
      <c r="AY29" s="270"/>
      <c r="AZ29" s="270"/>
      <c r="BA29" s="270"/>
      <c r="BB29" s="270"/>
      <c r="BC29" s="270"/>
      <c r="BD29" s="270"/>
      <c r="BE29" s="270"/>
      <c r="BF29" s="270"/>
      <c r="BG29" s="270"/>
      <c r="BH29" s="270"/>
      <c r="BI29" s="270"/>
      <c r="BJ29" s="271"/>
      <c r="BK29" s="272"/>
      <c r="BL29" s="270"/>
      <c r="BM29" s="270"/>
      <c r="BN29" s="270"/>
      <c r="BO29" s="270"/>
      <c r="BP29" s="270"/>
      <c r="BQ29" s="270"/>
      <c r="BR29" s="270"/>
      <c r="BS29" s="270"/>
      <c r="BT29" s="270"/>
      <c r="BU29" s="270"/>
      <c r="BV29" s="270"/>
      <c r="BW29" s="270"/>
      <c r="BX29" s="270"/>
      <c r="BY29" s="270"/>
      <c r="BZ29" s="270"/>
      <c r="CA29" s="270"/>
      <c r="CB29" s="270"/>
      <c r="CC29" s="270"/>
      <c r="CD29" s="270"/>
      <c r="CE29" s="270"/>
      <c r="CF29" s="270"/>
      <c r="CG29" s="273"/>
      <c r="CH29" s="277">
        <v>1.4999999999999999E-2</v>
      </c>
      <c r="CI29" s="278"/>
      <c r="CJ29" s="278"/>
      <c r="CK29" s="279"/>
      <c r="CL29" s="272">
        <f>+BK29*CH29</f>
        <v>0</v>
      </c>
      <c r="CM29" s="270"/>
      <c r="CN29" s="270"/>
      <c r="CO29" s="270"/>
      <c r="CP29" s="270"/>
      <c r="CQ29" s="270"/>
      <c r="CR29" s="270"/>
      <c r="CS29" s="270"/>
      <c r="CT29" s="270"/>
      <c r="CU29" s="270"/>
      <c r="CV29" s="270"/>
      <c r="CW29" s="270"/>
      <c r="CX29" s="270"/>
      <c r="CY29" s="270"/>
      <c r="CZ29" s="270"/>
      <c r="DA29" s="270"/>
      <c r="DB29" s="270"/>
      <c r="DC29" s="270"/>
      <c r="DD29" s="270"/>
      <c r="DE29" s="271"/>
    </row>
    <row r="30" spans="4:109" ht="19.5" customHeight="1">
      <c r="D30" s="171"/>
      <c r="E30" s="172"/>
      <c r="F30" s="172"/>
      <c r="G30" s="172"/>
      <c r="H30" s="172"/>
      <c r="I30" s="172"/>
      <c r="J30" s="242" t="s">
        <v>114</v>
      </c>
      <c r="K30" s="243"/>
      <c r="L30" s="243"/>
      <c r="M30" s="243"/>
      <c r="N30" s="243"/>
      <c r="O30" s="243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  <c r="AK30" s="243"/>
      <c r="AL30" s="244"/>
      <c r="AM30" s="269"/>
      <c r="AN30" s="270"/>
      <c r="AO30" s="270"/>
      <c r="AP30" s="270"/>
      <c r="AQ30" s="270"/>
      <c r="AR30" s="270"/>
      <c r="AS30" s="270"/>
      <c r="AT30" s="270"/>
      <c r="AU30" s="270"/>
      <c r="AV30" s="270"/>
      <c r="AW30" s="270"/>
      <c r="AX30" s="270"/>
      <c r="AY30" s="270"/>
      <c r="AZ30" s="270"/>
      <c r="BA30" s="270"/>
      <c r="BB30" s="270"/>
      <c r="BC30" s="270"/>
      <c r="BD30" s="270"/>
      <c r="BE30" s="270"/>
      <c r="BF30" s="270"/>
      <c r="BG30" s="270"/>
      <c r="BH30" s="270"/>
      <c r="BI30" s="270"/>
      <c r="BJ30" s="271"/>
      <c r="BK30" s="272"/>
      <c r="BL30" s="270"/>
      <c r="BM30" s="270"/>
      <c r="BN30" s="270"/>
      <c r="BO30" s="270"/>
      <c r="BP30" s="270"/>
      <c r="BQ30" s="270"/>
      <c r="BR30" s="270"/>
      <c r="BS30" s="270"/>
      <c r="BT30" s="270"/>
      <c r="BU30" s="270"/>
      <c r="BV30" s="270"/>
      <c r="BW30" s="270"/>
      <c r="BX30" s="270"/>
      <c r="BY30" s="270"/>
      <c r="BZ30" s="270"/>
      <c r="CA30" s="270"/>
      <c r="CB30" s="270"/>
      <c r="CC30" s="270"/>
      <c r="CD30" s="270"/>
      <c r="CE30" s="270"/>
      <c r="CF30" s="270"/>
      <c r="CG30" s="273"/>
      <c r="CH30" s="274"/>
      <c r="CI30" s="275"/>
      <c r="CJ30" s="275"/>
      <c r="CK30" s="276"/>
      <c r="CL30" s="272"/>
      <c r="CM30" s="270"/>
      <c r="CN30" s="270"/>
      <c r="CO30" s="270"/>
      <c r="CP30" s="270"/>
      <c r="CQ30" s="270"/>
      <c r="CR30" s="270"/>
      <c r="CS30" s="270"/>
      <c r="CT30" s="270"/>
      <c r="CU30" s="270"/>
      <c r="CV30" s="270"/>
      <c r="CW30" s="270"/>
      <c r="CX30" s="270"/>
      <c r="CY30" s="270"/>
      <c r="CZ30" s="270"/>
      <c r="DA30" s="270"/>
      <c r="DB30" s="270"/>
      <c r="DC30" s="270"/>
      <c r="DD30" s="270"/>
      <c r="DE30" s="271"/>
    </row>
    <row r="31" spans="4:109" ht="15">
      <c r="D31" s="171"/>
      <c r="E31" s="172"/>
      <c r="F31" s="172"/>
      <c r="G31" s="172"/>
      <c r="H31" s="172"/>
      <c r="I31" s="172"/>
      <c r="J31" s="242" t="s">
        <v>117</v>
      </c>
      <c r="K31" s="243"/>
      <c r="L31" s="243"/>
      <c r="M31" s="243"/>
      <c r="N31" s="243"/>
      <c r="O31" s="243"/>
      <c r="P31" s="243"/>
      <c r="Q31" s="243"/>
      <c r="R31" s="243"/>
      <c r="S31" s="243"/>
      <c r="T31" s="243"/>
      <c r="U31" s="243"/>
      <c r="V31" s="243"/>
      <c r="W31" s="243"/>
      <c r="X31" s="243"/>
      <c r="Y31" s="243"/>
      <c r="Z31" s="243"/>
      <c r="AA31" s="243"/>
      <c r="AB31" s="243"/>
      <c r="AC31" s="243"/>
      <c r="AD31" s="243"/>
      <c r="AE31" s="243"/>
      <c r="AF31" s="243"/>
      <c r="AG31" s="243"/>
      <c r="AH31" s="243"/>
      <c r="AI31" s="243"/>
      <c r="AJ31" s="243"/>
      <c r="AK31" s="243"/>
      <c r="AL31" s="244"/>
      <c r="AM31" s="269"/>
      <c r="AN31" s="270"/>
      <c r="AO31" s="270"/>
      <c r="AP31" s="270"/>
      <c r="AQ31" s="270"/>
      <c r="AR31" s="270"/>
      <c r="AS31" s="270"/>
      <c r="AT31" s="270"/>
      <c r="AU31" s="270"/>
      <c r="AV31" s="270"/>
      <c r="AW31" s="270"/>
      <c r="AX31" s="270"/>
      <c r="AY31" s="270"/>
      <c r="AZ31" s="270"/>
      <c r="BA31" s="270"/>
      <c r="BB31" s="270"/>
      <c r="BC31" s="270"/>
      <c r="BD31" s="270"/>
      <c r="BE31" s="270"/>
      <c r="BF31" s="270"/>
      <c r="BG31" s="270"/>
      <c r="BH31" s="270"/>
      <c r="BI31" s="270"/>
      <c r="BJ31" s="271"/>
      <c r="BK31" s="272"/>
      <c r="BL31" s="270"/>
      <c r="BM31" s="270"/>
      <c r="BN31" s="270"/>
      <c r="BO31" s="270"/>
      <c r="BP31" s="270"/>
      <c r="BQ31" s="270"/>
      <c r="BR31" s="270"/>
      <c r="BS31" s="270"/>
      <c r="BT31" s="270"/>
      <c r="BU31" s="270"/>
      <c r="BV31" s="270"/>
      <c r="BW31" s="270"/>
      <c r="BX31" s="270"/>
      <c r="BY31" s="270"/>
      <c r="BZ31" s="270"/>
      <c r="CA31" s="270"/>
      <c r="CB31" s="270"/>
      <c r="CC31" s="270"/>
      <c r="CD31" s="270"/>
      <c r="CE31" s="270"/>
      <c r="CF31" s="270"/>
      <c r="CG31" s="273"/>
      <c r="CH31" s="274"/>
      <c r="CI31" s="275"/>
      <c r="CJ31" s="275"/>
      <c r="CK31" s="276"/>
      <c r="CL31" s="272"/>
      <c r="CM31" s="270"/>
      <c r="CN31" s="270"/>
      <c r="CO31" s="270"/>
      <c r="CP31" s="270"/>
      <c r="CQ31" s="270"/>
      <c r="CR31" s="270"/>
      <c r="CS31" s="270"/>
      <c r="CT31" s="270"/>
      <c r="CU31" s="270"/>
      <c r="CV31" s="270"/>
      <c r="CW31" s="270"/>
      <c r="CX31" s="270"/>
      <c r="CY31" s="270"/>
      <c r="CZ31" s="270"/>
      <c r="DA31" s="270"/>
      <c r="DB31" s="270"/>
      <c r="DC31" s="270"/>
      <c r="DD31" s="270"/>
      <c r="DE31" s="271"/>
    </row>
    <row r="32" spans="4:109" ht="15.75" customHeight="1">
      <c r="D32" s="171"/>
      <c r="E32" s="172"/>
      <c r="F32" s="172"/>
      <c r="G32" s="172"/>
      <c r="H32" s="172"/>
      <c r="I32" s="172"/>
      <c r="J32" s="242" t="s">
        <v>125</v>
      </c>
      <c r="K32" s="243"/>
      <c r="L32" s="243"/>
      <c r="M32" s="243"/>
      <c r="N32" s="243"/>
      <c r="O32" s="243"/>
      <c r="P32" s="243"/>
      <c r="Q32" s="243"/>
      <c r="R32" s="243"/>
      <c r="S32" s="243"/>
      <c r="T32" s="243"/>
      <c r="U32" s="243"/>
      <c r="V32" s="243"/>
      <c r="W32" s="243"/>
      <c r="X32" s="243"/>
      <c r="Y32" s="243"/>
      <c r="Z32" s="243"/>
      <c r="AA32" s="243"/>
      <c r="AB32" s="243"/>
      <c r="AC32" s="243"/>
      <c r="AD32" s="243"/>
      <c r="AE32" s="243"/>
      <c r="AF32" s="243"/>
      <c r="AG32" s="243"/>
      <c r="AH32" s="243"/>
      <c r="AI32" s="243"/>
      <c r="AJ32" s="243"/>
      <c r="AK32" s="243"/>
      <c r="AL32" s="244"/>
      <c r="AM32" s="269"/>
      <c r="AN32" s="270"/>
      <c r="AO32" s="270"/>
      <c r="AP32" s="270"/>
      <c r="AQ32" s="270"/>
      <c r="AR32" s="270"/>
      <c r="AS32" s="270"/>
      <c r="AT32" s="270"/>
      <c r="AU32" s="270"/>
      <c r="AV32" s="270"/>
      <c r="AW32" s="270"/>
      <c r="AX32" s="270"/>
      <c r="AY32" s="270"/>
      <c r="AZ32" s="270"/>
      <c r="BA32" s="270"/>
      <c r="BB32" s="270"/>
      <c r="BC32" s="270"/>
      <c r="BD32" s="270"/>
      <c r="BE32" s="270"/>
      <c r="BF32" s="270"/>
      <c r="BG32" s="270"/>
      <c r="BH32" s="270"/>
      <c r="BI32" s="270"/>
      <c r="BJ32" s="271"/>
      <c r="BK32" s="272"/>
      <c r="BL32" s="270"/>
      <c r="BM32" s="270"/>
      <c r="BN32" s="270"/>
      <c r="BO32" s="270"/>
      <c r="BP32" s="270"/>
      <c r="BQ32" s="270"/>
      <c r="BR32" s="270"/>
      <c r="BS32" s="270"/>
      <c r="BT32" s="270"/>
      <c r="BU32" s="270"/>
      <c r="BV32" s="270"/>
      <c r="BW32" s="270"/>
      <c r="BX32" s="270"/>
      <c r="BY32" s="270"/>
      <c r="BZ32" s="270"/>
      <c r="CA32" s="270"/>
      <c r="CB32" s="270"/>
      <c r="CC32" s="270"/>
      <c r="CD32" s="270"/>
      <c r="CE32" s="270"/>
      <c r="CF32" s="270"/>
      <c r="CG32" s="273"/>
      <c r="CH32" s="274"/>
      <c r="CI32" s="275"/>
      <c r="CJ32" s="275"/>
      <c r="CK32" s="276"/>
      <c r="CL32" s="272"/>
      <c r="CM32" s="270"/>
      <c r="CN32" s="270"/>
      <c r="CO32" s="270"/>
      <c r="CP32" s="270"/>
      <c r="CQ32" s="270"/>
      <c r="CR32" s="270"/>
      <c r="CS32" s="270"/>
      <c r="CT32" s="270"/>
      <c r="CU32" s="270"/>
      <c r="CV32" s="270"/>
      <c r="CW32" s="270"/>
      <c r="CX32" s="270"/>
      <c r="CY32" s="270"/>
      <c r="CZ32" s="270"/>
      <c r="DA32" s="270"/>
      <c r="DB32" s="270"/>
      <c r="DC32" s="270"/>
      <c r="DD32" s="270"/>
      <c r="DE32" s="271"/>
    </row>
    <row r="33" spans="4:109" ht="22.5" customHeight="1">
      <c r="D33" s="171"/>
      <c r="E33" s="172"/>
      <c r="F33" s="172"/>
      <c r="G33" s="172"/>
      <c r="H33" s="172"/>
      <c r="I33" s="172"/>
      <c r="J33" s="289" t="s">
        <v>126</v>
      </c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  <c r="AA33" s="290"/>
      <c r="AB33" s="290"/>
      <c r="AC33" s="290"/>
      <c r="AD33" s="290"/>
      <c r="AE33" s="290"/>
      <c r="AF33" s="290"/>
      <c r="AG33" s="290"/>
      <c r="AH33" s="290"/>
      <c r="AI33" s="290"/>
      <c r="AJ33" s="290"/>
      <c r="AK33" s="290"/>
      <c r="AL33" s="290"/>
      <c r="AM33" s="281"/>
      <c r="AN33" s="282"/>
      <c r="AO33" s="282"/>
      <c r="AP33" s="282"/>
      <c r="AQ33" s="282"/>
      <c r="AR33" s="282"/>
      <c r="AS33" s="282"/>
      <c r="AT33" s="282"/>
      <c r="AU33" s="282"/>
      <c r="AV33" s="282"/>
      <c r="AW33" s="282"/>
      <c r="AX33" s="282"/>
      <c r="AY33" s="282"/>
      <c r="AZ33" s="282"/>
      <c r="BA33" s="282"/>
      <c r="BB33" s="282"/>
      <c r="BC33" s="282"/>
      <c r="BD33" s="282"/>
      <c r="BE33" s="282"/>
      <c r="BF33" s="282"/>
      <c r="BG33" s="282"/>
      <c r="BH33" s="282"/>
      <c r="BI33" s="282"/>
      <c r="BJ33" s="283"/>
      <c r="BK33" s="282"/>
      <c r="BL33" s="282"/>
      <c r="BM33" s="282"/>
      <c r="BN33" s="282"/>
      <c r="BO33" s="282"/>
      <c r="BP33" s="282"/>
      <c r="BQ33" s="282"/>
      <c r="BR33" s="282"/>
      <c r="BS33" s="282"/>
      <c r="BT33" s="282"/>
      <c r="BU33" s="282"/>
      <c r="BV33" s="282"/>
      <c r="BW33" s="282"/>
      <c r="BX33" s="282"/>
      <c r="BY33" s="282"/>
      <c r="BZ33" s="282"/>
      <c r="CA33" s="282"/>
      <c r="CB33" s="282"/>
      <c r="CC33" s="282"/>
      <c r="CD33" s="282"/>
      <c r="CE33" s="282"/>
      <c r="CF33" s="282"/>
      <c r="CG33" s="282"/>
      <c r="CH33" s="196"/>
      <c r="CI33" s="197"/>
      <c r="CJ33" s="197"/>
      <c r="CK33" s="198"/>
      <c r="CL33" s="282"/>
      <c r="CM33" s="282"/>
      <c r="CN33" s="282"/>
      <c r="CO33" s="282"/>
      <c r="CP33" s="282"/>
      <c r="CQ33" s="282"/>
      <c r="CR33" s="282"/>
      <c r="CS33" s="282"/>
      <c r="CT33" s="282"/>
      <c r="CU33" s="282"/>
      <c r="CV33" s="282"/>
      <c r="CW33" s="282"/>
      <c r="CX33" s="282"/>
      <c r="CY33" s="282"/>
      <c r="CZ33" s="282"/>
      <c r="DA33" s="282"/>
      <c r="DB33" s="282"/>
      <c r="DC33" s="282"/>
      <c r="DD33" s="282"/>
      <c r="DE33" s="283"/>
    </row>
    <row r="34" spans="4:109" ht="16.5" customHeight="1">
      <c r="D34" s="287">
        <v>5</v>
      </c>
      <c r="E34" s="190"/>
      <c r="F34" s="190"/>
      <c r="G34" s="288"/>
      <c r="H34" s="287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288"/>
      <c r="AE34" s="291" t="s">
        <v>68</v>
      </c>
      <c r="AF34" s="292"/>
      <c r="AG34" s="292"/>
      <c r="AH34" s="292"/>
      <c r="AI34" s="292"/>
      <c r="AJ34" s="292"/>
      <c r="AK34" s="292"/>
      <c r="AL34" s="293"/>
      <c r="AM34" s="284">
        <f>SUM(AM23:BJ33)</f>
        <v>0</v>
      </c>
      <c r="AN34" s="285"/>
      <c r="AO34" s="285"/>
      <c r="AP34" s="285"/>
      <c r="AQ34" s="285"/>
      <c r="AR34" s="285"/>
      <c r="AS34" s="285"/>
      <c r="AT34" s="285"/>
      <c r="AU34" s="285"/>
      <c r="AV34" s="285"/>
      <c r="AW34" s="285"/>
      <c r="AX34" s="285"/>
      <c r="AY34" s="285"/>
      <c r="AZ34" s="285"/>
      <c r="BA34" s="285"/>
      <c r="BB34" s="285"/>
      <c r="BC34" s="285"/>
      <c r="BD34" s="285"/>
      <c r="BE34" s="285"/>
      <c r="BF34" s="285"/>
      <c r="BG34" s="285"/>
      <c r="BH34" s="285"/>
      <c r="BI34" s="285"/>
      <c r="BJ34" s="286"/>
      <c r="BK34" s="284">
        <f>SUM(BK23:CG33)</f>
        <v>0</v>
      </c>
      <c r="BL34" s="285"/>
      <c r="BM34" s="285"/>
      <c r="BN34" s="285"/>
      <c r="BO34" s="285"/>
      <c r="BP34" s="285"/>
      <c r="BQ34" s="285"/>
      <c r="BR34" s="285"/>
      <c r="BS34" s="285"/>
      <c r="BT34" s="285"/>
      <c r="BU34" s="285"/>
      <c r="BV34" s="285"/>
      <c r="BW34" s="285"/>
      <c r="BX34" s="285"/>
      <c r="BY34" s="285"/>
      <c r="BZ34" s="285"/>
      <c r="CA34" s="285"/>
      <c r="CB34" s="285"/>
      <c r="CC34" s="285"/>
      <c r="CD34" s="285"/>
      <c r="CE34" s="285"/>
      <c r="CF34" s="285"/>
      <c r="CG34" s="286"/>
      <c r="CH34" s="287"/>
      <c r="CI34" s="190"/>
      <c r="CJ34" s="190"/>
      <c r="CK34" s="288"/>
      <c r="CL34" s="284">
        <f>+CL33+CL32+CL31+CL30+CL29+CL28+CL27+CL26+CL25+CL23+CL18+CL17+CL16+CL15+CL14+CL13+CL12+CL11+CL10+CL9+CL8+CL7+CL5</f>
        <v>0</v>
      </c>
      <c r="CM34" s="285"/>
      <c r="CN34" s="285"/>
      <c r="CO34" s="285"/>
      <c r="CP34" s="285"/>
      <c r="CQ34" s="285"/>
      <c r="CR34" s="285"/>
      <c r="CS34" s="285"/>
      <c r="CT34" s="285"/>
      <c r="CU34" s="285"/>
      <c r="CV34" s="285"/>
      <c r="CW34" s="285"/>
      <c r="CX34" s="285"/>
      <c r="CY34" s="285"/>
      <c r="CZ34" s="285"/>
      <c r="DA34" s="285"/>
      <c r="DB34" s="285"/>
      <c r="DC34" s="285"/>
      <c r="DD34" s="285"/>
      <c r="DE34" s="286"/>
    </row>
    <row r="35" spans="4:109" ht="7.5" customHeight="1"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21"/>
      <c r="P35" s="21"/>
      <c r="Q35" s="21"/>
      <c r="R35" s="21"/>
      <c r="S35" s="18"/>
      <c r="T35" s="18"/>
      <c r="U35" s="18"/>
      <c r="V35" s="18"/>
      <c r="W35" s="18"/>
    </row>
    <row r="36" spans="4:109" ht="10.5" customHeight="1">
      <c r="D36" s="280" t="s">
        <v>128</v>
      </c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</row>
    <row r="37" spans="4:109" ht="9.75" customHeight="1">
      <c r="D37" s="280" t="s">
        <v>129</v>
      </c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  <c r="AK37" s="280"/>
      <c r="AL37" s="280"/>
      <c r="AM37" s="280"/>
      <c r="AN37" s="280"/>
      <c r="AO37" s="280"/>
      <c r="AP37" s="280"/>
      <c r="AQ37" s="280"/>
      <c r="AR37" s="280"/>
      <c r="AS37" s="280"/>
      <c r="AT37" s="280"/>
      <c r="AU37" s="280"/>
      <c r="AV37" s="280"/>
      <c r="AW37" s="280"/>
      <c r="AX37" s="280"/>
      <c r="AY37" s="280"/>
      <c r="AZ37" s="280"/>
      <c r="BA37" s="280"/>
      <c r="BB37" s="280"/>
      <c r="BC37" s="280"/>
      <c r="BD37" s="280"/>
      <c r="BE37" s="280"/>
      <c r="BF37" s="280"/>
      <c r="BG37" s="280"/>
      <c r="BH37" s="280"/>
      <c r="BI37" s="280"/>
      <c r="BJ37" s="280"/>
      <c r="BK37" s="280"/>
      <c r="BL37" s="280"/>
      <c r="BM37" s="280"/>
      <c r="BN37" s="280"/>
      <c r="BO37" s="280"/>
      <c r="BP37" s="280"/>
      <c r="BQ37" s="280"/>
      <c r="BR37" s="280"/>
      <c r="BS37" s="280"/>
      <c r="BT37" s="280"/>
      <c r="BU37" s="280"/>
      <c r="BV37" s="280"/>
      <c r="BW37" s="280"/>
      <c r="BX37" s="280"/>
      <c r="BY37" s="280"/>
      <c r="BZ37" s="280"/>
      <c r="CA37" s="280"/>
      <c r="CB37" s="280"/>
      <c r="CC37" s="280"/>
      <c r="CD37" s="280"/>
      <c r="CE37" s="280"/>
      <c r="CF37" s="280"/>
      <c r="CG37" s="280"/>
      <c r="CH37" s="280"/>
      <c r="CI37" s="280"/>
      <c r="CJ37" s="280"/>
      <c r="CK37" s="280"/>
      <c r="CL37" s="280"/>
      <c r="CM37" s="280"/>
      <c r="CN37" s="280"/>
      <c r="CO37" s="280"/>
      <c r="CP37" s="280"/>
      <c r="CQ37" s="280"/>
      <c r="CR37" s="280"/>
      <c r="CS37" s="280"/>
      <c r="CT37" s="280"/>
      <c r="CU37" s="280"/>
      <c r="CV37" s="280"/>
      <c r="CW37" s="280"/>
      <c r="CX37" s="280"/>
      <c r="CY37" s="280"/>
      <c r="CZ37" s="280"/>
      <c r="DA37" s="280"/>
      <c r="DB37" s="280"/>
      <c r="DC37" s="280"/>
      <c r="DD37" s="280"/>
      <c r="DE37" s="280"/>
    </row>
    <row r="38" spans="4:109" ht="11.25" customHeight="1"/>
  </sheetData>
  <mergeCells count="171">
    <mergeCell ref="BK31:CG31"/>
    <mergeCell ref="CH31:CK31"/>
    <mergeCell ref="CL31:DE31"/>
    <mergeCell ref="AM28:BJ28"/>
    <mergeCell ref="BK28:CG28"/>
    <mergeCell ref="CH28:CK28"/>
    <mergeCell ref="CL28:DE28"/>
    <mergeCell ref="AM29:BJ29"/>
    <mergeCell ref="D36:X36"/>
    <mergeCell ref="AM30:BJ30"/>
    <mergeCell ref="BK30:CG30"/>
    <mergeCell ref="CH30:CK30"/>
    <mergeCell ref="CL30:DE30"/>
    <mergeCell ref="AM31:BJ31"/>
    <mergeCell ref="D30:I30"/>
    <mergeCell ref="D31:I31"/>
    <mergeCell ref="J31:AL31"/>
    <mergeCell ref="J30:AL30"/>
    <mergeCell ref="D37:DE37"/>
    <mergeCell ref="AM32:BJ32"/>
    <mergeCell ref="BK32:CG32"/>
    <mergeCell ref="CH32:CK32"/>
    <mergeCell ref="CL32:DE32"/>
    <mergeCell ref="AM33:BJ33"/>
    <mergeCell ref="BK33:CG33"/>
    <mergeCell ref="CH33:CK33"/>
    <mergeCell ref="CL33:DE33"/>
    <mergeCell ref="AM34:BJ34"/>
    <mergeCell ref="CL34:DE34"/>
    <mergeCell ref="CH34:CK34"/>
    <mergeCell ref="BK34:CG34"/>
    <mergeCell ref="D32:I32"/>
    <mergeCell ref="D33:I33"/>
    <mergeCell ref="D34:G34"/>
    <mergeCell ref="H34:AD34"/>
    <mergeCell ref="J32:AL32"/>
    <mergeCell ref="J33:AL33"/>
    <mergeCell ref="AE34:AL34"/>
    <mergeCell ref="AM25:BJ25"/>
    <mergeCell ref="BK25:CG25"/>
    <mergeCell ref="CH25:CK25"/>
    <mergeCell ref="CL25:DE25"/>
    <mergeCell ref="AM26:BJ26"/>
    <mergeCell ref="BK29:CG29"/>
    <mergeCell ref="CH29:CK29"/>
    <mergeCell ref="CL29:DE29"/>
    <mergeCell ref="BK26:CG26"/>
    <mergeCell ref="CH26:CK26"/>
    <mergeCell ref="CL26:DE26"/>
    <mergeCell ref="AM27:BJ27"/>
    <mergeCell ref="BK27:CG27"/>
    <mergeCell ref="CH27:CK27"/>
    <mergeCell ref="CL27:DE27"/>
    <mergeCell ref="D23:I23"/>
    <mergeCell ref="D24:I24"/>
    <mergeCell ref="D25:I25"/>
    <mergeCell ref="D26:I26"/>
    <mergeCell ref="D27:I27"/>
    <mergeCell ref="D28:I28"/>
    <mergeCell ref="D29:I29"/>
    <mergeCell ref="J25:AL25"/>
    <mergeCell ref="J26:AL26"/>
    <mergeCell ref="J27:AL27"/>
    <mergeCell ref="J28:AL28"/>
    <mergeCell ref="J29:AL29"/>
    <mergeCell ref="AM21:BJ22"/>
    <mergeCell ref="BK21:CG22"/>
    <mergeCell ref="CH21:CK21"/>
    <mergeCell ref="CH22:CK22"/>
    <mergeCell ref="CL21:DE22"/>
    <mergeCell ref="J24:AL24"/>
    <mergeCell ref="J23:AL23"/>
    <mergeCell ref="AM23:BJ24"/>
    <mergeCell ref="CL23:DE24"/>
    <mergeCell ref="CH23:CK24"/>
    <mergeCell ref="BK23:CG24"/>
    <mergeCell ref="D17:I17"/>
    <mergeCell ref="D18:I18"/>
    <mergeCell ref="D5:I6"/>
    <mergeCell ref="J21:AL22"/>
    <mergeCell ref="D21:I22"/>
    <mergeCell ref="D11:I11"/>
    <mergeCell ref="D12:I12"/>
    <mergeCell ref="D13:I13"/>
    <mergeCell ref="D14:I14"/>
    <mergeCell ref="D15:I15"/>
    <mergeCell ref="D16:I16"/>
    <mergeCell ref="D7:I7"/>
    <mergeCell ref="D8:I8"/>
    <mergeCell ref="D9:I9"/>
    <mergeCell ref="D10:I10"/>
    <mergeCell ref="J12:AM12"/>
    <mergeCell ref="J11:AM11"/>
    <mergeCell ref="J10:AM10"/>
    <mergeCell ref="J9:AM9"/>
    <mergeCell ref="J8:AM8"/>
    <mergeCell ref="J7:AM7"/>
    <mergeCell ref="J18:AM18"/>
    <mergeCell ref="J17:AM17"/>
    <mergeCell ref="J16:AM16"/>
    <mergeCell ref="AN10:BJ10"/>
    <mergeCell ref="BK10:CG10"/>
    <mergeCell ref="CH10:CK10"/>
    <mergeCell ref="CL10:DE10"/>
    <mergeCell ref="D19:AM19"/>
    <mergeCell ref="D20:AM20"/>
    <mergeCell ref="CH9:CK9"/>
    <mergeCell ref="CL9:DE9"/>
    <mergeCell ref="AN7:BJ7"/>
    <mergeCell ref="BK7:CG7"/>
    <mergeCell ref="CH7:CK7"/>
    <mergeCell ref="CL7:DE7"/>
    <mergeCell ref="AN8:BJ8"/>
    <mergeCell ref="BK8:CG8"/>
    <mergeCell ref="CH8:CK8"/>
    <mergeCell ref="CL8:DE8"/>
    <mergeCell ref="AN9:BJ9"/>
    <mergeCell ref="BK9:CG9"/>
    <mergeCell ref="AN17:BJ17"/>
    <mergeCell ref="BK17:CG17"/>
    <mergeCell ref="CH17:CK17"/>
    <mergeCell ref="CL17:DE17"/>
    <mergeCell ref="AN18:BJ18"/>
    <mergeCell ref="BK18:CG18"/>
    <mergeCell ref="CH18:CK18"/>
    <mergeCell ref="CL18:DE18"/>
    <mergeCell ref="AN15:BJ15"/>
    <mergeCell ref="BK15:CG15"/>
    <mergeCell ref="CH15:CK15"/>
    <mergeCell ref="CL15:DE15"/>
    <mergeCell ref="AN16:BJ16"/>
    <mergeCell ref="BK16:CG16"/>
    <mergeCell ref="CH16:CK16"/>
    <mergeCell ref="CL16:DE16"/>
    <mergeCell ref="CL13:DE13"/>
    <mergeCell ref="AN14:BJ14"/>
    <mergeCell ref="BK14:CG14"/>
    <mergeCell ref="CH14:CK14"/>
    <mergeCell ref="CL14:DE14"/>
    <mergeCell ref="AN11:BJ11"/>
    <mergeCell ref="AN12:BJ12"/>
    <mergeCell ref="BK12:CG12"/>
    <mergeCell ref="CH12:CK12"/>
    <mergeCell ref="CL12:DE12"/>
    <mergeCell ref="CL11:DE11"/>
    <mergeCell ref="CH11:CK11"/>
    <mergeCell ref="BK11:CG11"/>
    <mergeCell ref="J15:AM15"/>
    <mergeCell ref="J14:AM14"/>
    <mergeCell ref="J13:AM13"/>
    <mergeCell ref="BB1:DE1"/>
    <mergeCell ref="D1:BA1"/>
    <mergeCell ref="D2:AC2"/>
    <mergeCell ref="AD2:DE2"/>
    <mergeCell ref="CH4:CK4"/>
    <mergeCell ref="CL4:DE4"/>
    <mergeCell ref="D3:I4"/>
    <mergeCell ref="J3:AM4"/>
    <mergeCell ref="AN3:BJ4"/>
    <mergeCell ref="BK3:CG4"/>
    <mergeCell ref="CH3:CK3"/>
    <mergeCell ref="CL3:DE3"/>
    <mergeCell ref="J6:AM6"/>
    <mergeCell ref="J5:AM5"/>
    <mergeCell ref="CL5:DE6"/>
    <mergeCell ref="CH5:CK6"/>
    <mergeCell ref="BK5:CG6"/>
    <mergeCell ref="AN5:BJ6"/>
    <mergeCell ref="AN13:BJ13"/>
    <mergeCell ref="BK13:CG13"/>
    <mergeCell ref="CH13:CK13"/>
  </mergeCells>
  <pageMargins left="2.0833333333333332E-2" right="3.125E-2" top="0.41666666666666669" bottom="1.0416666666666666E-2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D1:CL39"/>
  <sheetViews>
    <sheetView view="pageLayout" workbookViewId="0">
      <selection activeCell="AW31" sqref="AW31:BA31"/>
    </sheetView>
  </sheetViews>
  <sheetFormatPr baseColWidth="10" defaultRowHeight="15"/>
  <cols>
    <col min="1" max="111" width="1.5703125" customWidth="1"/>
  </cols>
  <sheetData>
    <row r="1" spans="4:90" ht="11.25" customHeight="1"/>
    <row r="3" spans="4:90">
      <c r="D3" s="44"/>
      <c r="E3" s="87" t="s">
        <v>241</v>
      </c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 t="s">
        <v>233</v>
      </c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88"/>
      <c r="CA3" s="88"/>
      <c r="CB3" s="88"/>
      <c r="CC3" s="88"/>
      <c r="CD3" s="88"/>
      <c r="CE3" s="88"/>
      <c r="CF3" s="88"/>
      <c r="CG3" s="88"/>
      <c r="CH3" s="88"/>
      <c r="CI3" s="88"/>
      <c r="CJ3" s="294"/>
      <c r="CK3" s="44"/>
      <c r="CL3" s="44"/>
    </row>
    <row r="4" spans="4:90">
      <c r="D4" s="46"/>
      <c r="E4" s="169" t="s">
        <v>45</v>
      </c>
      <c r="F4" s="170"/>
      <c r="G4" s="170"/>
      <c r="H4" s="194"/>
      <c r="I4" s="169" t="s">
        <v>234</v>
      </c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295" t="s">
        <v>235</v>
      </c>
      <c r="AB4" s="295"/>
      <c r="AC4" s="295"/>
      <c r="AD4" s="295"/>
      <c r="AE4" s="295"/>
      <c r="AF4" s="295"/>
      <c r="AG4" s="295"/>
      <c r="AH4" s="295"/>
      <c r="AI4" s="295"/>
      <c r="AJ4" s="295"/>
      <c r="AK4" s="295"/>
      <c r="AL4" s="295"/>
      <c r="AM4" s="295"/>
      <c r="AN4" s="295"/>
      <c r="AO4" s="295"/>
      <c r="AP4" s="295"/>
      <c r="AQ4" s="295"/>
      <c r="AR4" s="295"/>
      <c r="AS4" s="296"/>
      <c r="AT4" s="299" t="s">
        <v>238</v>
      </c>
      <c r="AU4" s="248"/>
      <c r="AV4" s="248"/>
      <c r="AW4" s="248"/>
      <c r="AX4" s="248"/>
      <c r="AY4" s="248"/>
      <c r="AZ4" s="248"/>
      <c r="BA4" s="248"/>
      <c r="BB4" s="248"/>
      <c r="BC4" s="248"/>
      <c r="BD4" s="248"/>
      <c r="BE4" s="248"/>
      <c r="BF4" s="248"/>
      <c r="BG4" s="248"/>
      <c r="BH4" s="248"/>
      <c r="BI4" s="248"/>
      <c r="BJ4" s="248"/>
      <c r="BK4" s="250"/>
      <c r="BL4" s="169" t="s">
        <v>92</v>
      </c>
      <c r="BM4" s="170"/>
      <c r="BN4" s="170"/>
      <c r="BO4" s="194"/>
      <c r="BP4" s="169" t="s">
        <v>236</v>
      </c>
      <c r="BQ4" s="170"/>
      <c r="BR4" s="170"/>
      <c r="BS4" s="170"/>
      <c r="BT4" s="170"/>
      <c r="BU4" s="170"/>
      <c r="BV4" s="170"/>
      <c r="BW4" s="170"/>
      <c r="BX4" s="170"/>
      <c r="BY4" s="170"/>
      <c r="BZ4" s="170"/>
      <c r="CA4" s="170"/>
      <c r="CB4" s="170"/>
      <c r="CC4" s="170"/>
      <c r="CD4" s="170"/>
      <c r="CE4" s="170"/>
      <c r="CF4" s="170"/>
      <c r="CG4" s="170"/>
      <c r="CH4" s="170"/>
      <c r="CI4" s="170"/>
      <c r="CJ4" s="194"/>
      <c r="CK4" s="46"/>
      <c r="CL4" s="46"/>
    </row>
    <row r="5" spans="4:90">
      <c r="D5" s="46"/>
      <c r="E5" s="196"/>
      <c r="F5" s="197"/>
      <c r="G5" s="197"/>
      <c r="H5" s="198"/>
      <c r="I5" s="171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297"/>
      <c r="AB5" s="297"/>
      <c r="AC5" s="297"/>
      <c r="AD5" s="297"/>
      <c r="AE5" s="297"/>
      <c r="AF5" s="297"/>
      <c r="AG5" s="297"/>
      <c r="AH5" s="297"/>
      <c r="AI5" s="297"/>
      <c r="AJ5" s="297"/>
      <c r="AK5" s="297"/>
      <c r="AL5" s="297"/>
      <c r="AM5" s="297"/>
      <c r="AN5" s="297"/>
      <c r="AO5" s="297"/>
      <c r="AP5" s="297"/>
      <c r="AQ5" s="297"/>
      <c r="AR5" s="297"/>
      <c r="AS5" s="298"/>
      <c r="AT5" s="300" t="s">
        <v>237</v>
      </c>
      <c r="AU5" s="301"/>
      <c r="AV5" s="301"/>
      <c r="AW5" s="301"/>
      <c r="AX5" s="301"/>
      <c r="AY5" s="301"/>
      <c r="AZ5" s="301"/>
      <c r="BA5" s="301"/>
      <c r="BB5" s="301"/>
      <c r="BC5" s="301"/>
      <c r="BD5" s="301"/>
      <c r="BE5" s="301"/>
      <c r="BF5" s="301"/>
      <c r="BG5" s="301"/>
      <c r="BH5" s="301"/>
      <c r="BI5" s="301"/>
      <c r="BJ5" s="301"/>
      <c r="BK5" s="302"/>
      <c r="BL5" s="171" t="s">
        <v>93</v>
      </c>
      <c r="BM5" s="172"/>
      <c r="BN5" s="172"/>
      <c r="BO5" s="195"/>
      <c r="BP5" s="171"/>
      <c r="BQ5" s="172"/>
      <c r="BR5" s="172"/>
      <c r="BS5" s="172"/>
      <c r="BT5" s="172"/>
      <c r="BU5" s="172"/>
      <c r="BV5" s="172"/>
      <c r="BW5" s="172"/>
      <c r="BX5" s="172"/>
      <c r="BY5" s="172"/>
      <c r="BZ5" s="172"/>
      <c r="CA5" s="172"/>
      <c r="CB5" s="172"/>
      <c r="CC5" s="172"/>
      <c r="CD5" s="172"/>
      <c r="CE5" s="172"/>
      <c r="CF5" s="172"/>
      <c r="CG5" s="172"/>
      <c r="CH5" s="172"/>
      <c r="CI5" s="172"/>
      <c r="CJ5" s="195"/>
      <c r="CK5" s="46"/>
      <c r="CL5" s="46"/>
    </row>
    <row r="6" spans="4:90" ht="14.25" customHeight="1">
      <c r="D6" s="46"/>
      <c r="E6" s="335" t="s">
        <v>242</v>
      </c>
      <c r="F6" s="336"/>
      <c r="G6" s="336"/>
      <c r="H6" s="336"/>
      <c r="I6" s="333"/>
      <c r="J6" s="331"/>
      <c r="K6" s="331"/>
      <c r="L6" s="331"/>
      <c r="M6" s="331"/>
      <c r="N6" s="331"/>
      <c r="O6" s="331"/>
      <c r="P6" s="331"/>
      <c r="Q6" s="331"/>
      <c r="R6" s="331"/>
      <c r="S6" s="331"/>
      <c r="T6" s="331"/>
      <c r="U6" s="331"/>
      <c r="V6" s="331"/>
      <c r="W6" s="331"/>
      <c r="X6" s="331"/>
      <c r="Y6" s="331"/>
      <c r="Z6" s="331"/>
      <c r="AA6" s="331"/>
      <c r="AB6" s="331"/>
      <c r="AC6" s="331"/>
      <c r="AD6" s="331"/>
      <c r="AE6" s="331"/>
      <c r="AF6" s="331"/>
      <c r="AG6" s="331"/>
      <c r="AH6" s="331"/>
      <c r="AI6" s="331"/>
      <c r="AJ6" s="331"/>
      <c r="AK6" s="331"/>
      <c r="AL6" s="331"/>
      <c r="AM6" s="331"/>
      <c r="AN6" s="331"/>
      <c r="AO6" s="331"/>
      <c r="AP6" s="331"/>
      <c r="AQ6" s="331"/>
      <c r="AR6" s="331"/>
      <c r="AS6" s="332"/>
      <c r="AT6" s="333"/>
      <c r="AU6" s="331"/>
      <c r="AV6" s="331"/>
      <c r="AW6" s="331"/>
      <c r="AX6" s="331"/>
      <c r="AY6" s="331"/>
      <c r="AZ6" s="331"/>
      <c r="BA6" s="331"/>
      <c r="BB6" s="331"/>
      <c r="BC6" s="331"/>
      <c r="BD6" s="331"/>
      <c r="BE6" s="331"/>
      <c r="BF6" s="331"/>
      <c r="BG6" s="331"/>
      <c r="BH6" s="331"/>
      <c r="BI6" s="331"/>
      <c r="BJ6" s="331"/>
      <c r="BK6" s="334"/>
      <c r="BL6" s="330">
        <v>0.01</v>
      </c>
      <c r="BM6" s="331"/>
      <c r="BN6" s="331"/>
      <c r="BO6" s="332"/>
      <c r="BP6" s="327">
        <f>+AT6*BL6</f>
        <v>0</v>
      </c>
      <c r="BQ6" s="328"/>
      <c r="BR6" s="328"/>
      <c r="BS6" s="328"/>
      <c r="BT6" s="328"/>
      <c r="BU6" s="328"/>
      <c r="BV6" s="328"/>
      <c r="BW6" s="328"/>
      <c r="BX6" s="328"/>
      <c r="BY6" s="328"/>
      <c r="BZ6" s="328"/>
      <c r="CA6" s="328"/>
      <c r="CB6" s="328"/>
      <c r="CC6" s="328"/>
      <c r="CD6" s="328"/>
      <c r="CE6" s="328"/>
      <c r="CF6" s="328"/>
      <c r="CG6" s="328"/>
      <c r="CH6" s="328"/>
      <c r="CI6" s="328"/>
      <c r="CJ6" s="329"/>
      <c r="CK6" s="46"/>
      <c r="CL6" s="46"/>
    </row>
    <row r="7" spans="4:90" ht="14.25" customHeight="1">
      <c r="D7" s="46"/>
      <c r="E7" s="337"/>
      <c r="F7" s="338"/>
      <c r="G7" s="338"/>
      <c r="H7" s="338"/>
      <c r="I7" s="344"/>
      <c r="J7" s="345"/>
      <c r="K7" s="345"/>
      <c r="L7" s="345"/>
      <c r="M7" s="345"/>
      <c r="N7" s="345"/>
      <c r="O7" s="345"/>
      <c r="P7" s="345"/>
      <c r="Q7" s="345"/>
      <c r="R7" s="345"/>
      <c r="S7" s="345"/>
      <c r="T7" s="345"/>
      <c r="U7" s="345"/>
      <c r="V7" s="345"/>
      <c r="W7" s="345"/>
      <c r="X7" s="345"/>
      <c r="Y7" s="345"/>
      <c r="Z7" s="345"/>
      <c r="AA7" s="345"/>
      <c r="AB7" s="345"/>
      <c r="AC7" s="345"/>
      <c r="AD7" s="345"/>
      <c r="AE7" s="345"/>
      <c r="AF7" s="345"/>
      <c r="AG7" s="345"/>
      <c r="AH7" s="345"/>
      <c r="AI7" s="345"/>
      <c r="AJ7" s="345"/>
      <c r="AK7" s="345"/>
      <c r="AL7" s="345"/>
      <c r="AM7" s="345"/>
      <c r="AN7" s="345"/>
      <c r="AO7" s="345"/>
      <c r="AP7" s="345"/>
      <c r="AQ7" s="345"/>
      <c r="AR7" s="345"/>
      <c r="AS7" s="347"/>
      <c r="AT7" s="344"/>
      <c r="AU7" s="345"/>
      <c r="AV7" s="345"/>
      <c r="AW7" s="345"/>
      <c r="AX7" s="345"/>
      <c r="AY7" s="345"/>
      <c r="AZ7" s="345"/>
      <c r="BA7" s="345"/>
      <c r="BB7" s="345"/>
      <c r="BC7" s="345"/>
      <c r="BD7" s="345"/>
      <c r="BE7" s="345"/>
      <c r="BF7" s="345"/>
      <c r="BG7" s="345"/>
      <c r="BH7" s="345"/>
      <c r="BI7" s="345"/>
      <c r="BJ7" s="345"/>
      <c r="BK7" s="346"/>
      <c r="BL7" s="341">
        <v>1.4999999999999999E-2</v>
      </c>
      <c r="BM7" s="342"/>
      <c r="BN7" s="342"/>
      <c r="BO7" s="343"/>
      <c r="BP7" s="216">
        <f>+AT7*BL7</f>
        <v>0</v>
      </c>
      <c r="BQ7" s="217"/>
      <c r="BR7" s="217"/>
      <c r="BS7" s="217"/>
      <c r="BT7" s="217"/>
      <c r="BU7" s="217"/>
      <c r="BV7" s="217"/>
      <c r="BW7" s="217"/>
      <c r="BX7" s="217"/>
      <c r="BY7" s="217"/>
      <c r="BZ7" s="217"/>
      <c r="CA7" s="217"/>
      <c r="CB7" s="217"/>
      <c r="CC7" s="217"/>
      <c r="CD7" s="217"/>
      <c r="CE7" s="217"/>
      <c r="CF7" s="217"/>
      <c r="CG7" s="217"/>
      <c r="CH7" s="217"/>
      <c r="CI7" s="217"/>
      <c r="CJ7" s="218"/>
      <c r="CK7" s="46"/>
      <c r="CL7" s="46"/>
    </row>
    <row r="8" spans="4:90" ht="14.25" customHeight="1">
      <c r="D8" s="46"/>
      <c r="E8" s="339"/>
      <c r="F8" s="340"/>
      <c r="G8" s="340"/>
      <c r="H8" s="340"/>
      <c r="I8" s="303"/>
      <c r="J8" s="304"/>
      <c r="K8" s="304"/>
      <c r="L8" s="304"/>
      <c r="M8" s="304"/>
      <c r="N8" s="304"/>
      <c r="O8" s="304"/>
      <c r="P8" s="304"/>
      <c r="Q8" s="304"/>
      <c r="R8" s="304"/>
      <c r="S8" s="304"/>
      <c r="T8" s="304"/>
      <c r="U8" s="304"/>
      <c r="V8" s="304"/>
      <c r="W8" s="304"/>
      <c r="X8" s="304"/>
      <c r="Y8" s="304"/>
      <c r="Z8" s="304"/>
      <c r="AA8" s="304"/>
      <c r="AB8" s="304"/>
      <c r="AC8" s="304"/>
      <c r="AD8" s="304"/>
      <c r="AE8" s="304"/>
      <c r="AF8" s="304"/>
      <c r="AG8" s="304"/>
      <c r="AH8" s="304"/>
      <c r="AI8" s="304"/>
      <c r="AJ8" s="304"/>
      <c r="AK8" s="304"/>
      <c r="AL8" s="304"/>
      <c r="AM8" s="304"/>
      <c r="AN8" s="304"/>
      <c r="AO8" s="304"/>
      <c r="AP8" s="304"/>
      <c r="AQ8" s="304"/>
      <c r="AR8" s="304"/>
      <c r="AS8" s="307"/>
      <c r="AT8" s="303"/>
      <c r="AU8" s="304"/>
      <c r="AV8" s="304"/>
      <c r="AW8" s="304"/>
      <c r="AX8" s="304"/>
      <c r="AY8" s="304"/>
      <c r="AZ8" s="304"/>
      <c r="BA8" s="304"/>
      <c r="BB8" s="304"/>
      <c r="BC8" s="304"/>
      <c r="BD8" s="304"/>
      <c r="BE8" s="304"/>
      <c r="BF8" s="304"/>
      <c r="BG8" s="304"/>
      <c r="BH8" s="304"/>
      <c r="BI8" s="304"/>
      <c r="BJ8" s="304"/>
      <c r="BK8" s="305"/>
      <c r="BL8" s="306">
        <v>0.02</v>
      </c>
      <c r="BM8" s="304"/>
      <c r="BN8" s="304"/>
      <c r="BO8" s="307"/>
      <c r="BP8" s="308">
        <f>+AT8*BL8</f>
        <v>0</v>
      </c>
      <c r="BQ8" s="309"/>
      <c r="BR8" s="309"/>
      <c r="BS8" s="309"/>
      <c r="BT8" s="309"/>
      <c r="BU8" s="309"/>
      <c r="BV8" s="309"/>
      <c r="BW8" s="309"/>
      <c r="BX8" s="309"/>
      <c r="BY8" s="309"/>
      <c r="BZ8" s="309"/>
      <c r="CA8" s="309"/>
      <c r="CB8" s="309"/>
      <c r="CC8" s="309"/>
      <c r="CD8" s="309"/>
      <c r="CE8" s="309"/>
      <c r="CF8" s="309"/>
      <c r="CG8" s="309"/>
      <c r="CH8" s="309"/>
      <c r="CI8" s="309"/>
      <c r="CJ8" s="310"/>
      <c r="CK8" s="46"/>
      <c r="CL8" s="46"/>
    </row>
    <row r="9" spans="4:90" ht="14.25" customHeight="1">
      <c r="D9" s="46"/>
      <c r="E9" s="311">
        <v>6</v>
      </c>
      <c r="F9" s="312"/>
      <c r="G9" s="315" t="s">
        <v>239</v>
      </c>
      <c r="H9" s="316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30"/>
      <c r="Z9" s="230"/>
      <c r="AA9" s="230"/>
      <c r="AB9" s="230"/>
      <c r="AC9" s="230"/>
      <c r="AD9" s="230"/>
      <c r="AE9" s="230"/>
      <c r="AF9" s="230"/>
      <c r="AG9" s="230"/>
      <c r="AH9" s="230"/>
      <c r="AI9" s="230"/>
      <c r="AJ9" s="230"/>
      <c r="AK9" s="230"/>
      <c r="AL9" s="230"/>
      <c r="AM9" s="230"/>
      <c r="AN9" s="230"/>
      <c r="AO9" s="230"/>
      <c r="AP9" s="230"/>
      <c r="AQ9" s="230"/>
      <c r="AR9" s="230"/>
      <c r="AS9" s="317"/>
      <c r="AT9" s="321" t="s">
        <v>68</v>
      </c>
      <c r="AU9" s="322"/>
      <c r="AV9" s="322"/>
      <c r="AW9" s="322"/>
      <c r="AX9" s="322"/>
      <c r="AY9" s="322"/>
      <c r="AZ9" s="322"/>
      <c r="BA9" s="322"/>
      <c r="BB9" s="322"/>
      <c r="BC9" s="322"/>
      <c r="BD9" s="322"/>
      <c r="BE9" s="322"/>
      <c r="BF9" s="322"/>
      <c r="BG9" s="322"/>
      <c r="BH9" s="322"/>
      <c r="BI9" s="322"/>
      <c r="BJ9" s="322"/>
      <c r="BK9" s="322"/>
      <c r="BL9" s="322"/>
      <c r="BM9" s="322"/>
      <c r="BN9" s="322"/>
      <c r="BO9" s="323"/>
      <c r="BP9" s="259">
        <f>SUM(BP6:CJ8)</f>
        <v>0</v>
      </c>
      <c r="BQ9" s="260"/>
      <c r="BR9" s="260"/>
      <c r="BS9" s="260"/>
      <c r="BT9" s="260"/>
      <c r="BU9" s="260"/>
      <c r="BV9" s="260"/>
      <c r="BW9" s="260"/>
      <c r="BX9" s="260"/>
      <c r="BY9" s="260"/>
      <c r="BZ9" s="260"/>
      <c r="CA9" s="260"/>
      <c r="CB9" s="260"/>
      <c r="CC9" s="260"/>
      <c r="CD9" s="260"/>
      <c r="CE9" s="260"/>
      <c r="CF9" s="260"/>
      <c r="CG9" s="260"/>
      <c r="CH9" s="260"/>
      <c r="CI9" s="260"/>
      <c r="CJ9" s="261"/>
      <c r="CK9" s="46"/>
      <c r="CL9" s="46"/>
    </row>
    <row r="10" spans="4:90" ht="14.25" customHeight="1">
      <c r="D10" s="45"/>
      <c r="E10" s="313"/>
      <c r="F10" s="314"/>
      <c r="G10" s="318" t="s">
        <v>240</v>
      </c>
      <c r="H10" s="319"/>
      <c r="I10" s="319"/>
      <c r="J10" s="319"/>
      <c r="K10" s="319"/>
      <c r="L10" s="319"/>
      <c r="M10" s="319"/>
      <c r="N10" s="319"/>
      <c r="O10" s="319"/>
      <c r="P10" s="319"/>
      <c r="Q10" s="319"/>
      <c r="R10" s="319"/>
      <c r="S10" s="319"/>
      <c r="T10" s="319"/>
      <c r="U10" s="319"/>
      <c r="V10" s="319"/>
      <c r="W10" s="319"/>
      <c r="X10" s="319"/>
      <c r="Y10" s="319"/>
      <c r="Z10" s="319"/>
      <c r="AA10" s="319"/>
      <c r="AB10" s="319"/>
      <c r="AC10" s="319"/>
      <c r="AD10" s="319"/>
      <c r="AE10" s="319"/>
      <c r="AF10" s="319"/>
      <c r="AG10" s="319"/>
      <c r="AH10" s="319"/>
      <c r="AI10" s="319"/>
      <c r="AJ10" s="319"/>
      <c r="AK10" s="319"/>
      <c r="AL10" s="319"/>
      <c r="AM10" s="319"/>
      <c r="AN10" s="319"/>
      <c r="AO10" s="319"/>
      <c r="AP10" s="319"/>
      <c r="AQ10" s="319"/>
      <c r="AR10" s="319"/>
      <c r="AS10" s="320"/>
      <c r="AT10" s="324"/>
      <c r="AU10" s="325"/>
      <c r="AV10" s="325"/>
      <c r="AW10" s="325"/>
      <c r="AX10" s="325"/>
      <c r="AY10" s="325"/>
      <c r="AZ10" s="325"/>
      <c r="BA10" s="325"/>
      <c r="BB10" s="325"/>
      <c r="BC10" s="325"/>
      <c r="BD10" s="325"/>
      <c r="BE10" s="325"/>
      <c r="BF10" s="325"/>
      <c r="BG10" s="325"/>
      <c r="BH10" s="325"/>
      <c r="BI10" s="325"/>
      <c r="BJ10" s="325"/>
      <c r="BK10" s="325"/>
      <c r="BL10" s="325"/>
      <c r="BM10" s="325"/>
      <c r="BN10" s="325"/>
      <c r="BO10" s="326"/>
      <c r="BP10" s="281"/>
      <c r="BQ10" s="282"/>
      <c r="BR10" s="282"/>
      <c r="BS10" s="282"/>
      <c r="BT10" s="282"/>
      <c r="BU10" s="282"/>
      <c r="BV10" s="282"/>
      <c r="BW10" s="282"/>
      <c r="BX10" s="282"/>
      <c r="BY10" s="282"/>
      <c r="BZ10" s="282"/>
      <c r="CA10" s="282"/>
      <c r="CB10" s="282"/>
      <c r="CC10" s="282"/>
      <c r="CD10" s="282"/>
      <c r="CE10" s="282"/>
      <c r="CF10" s="282"/>
      <c r="CG10" s="282"/>
      <c r="CH10" s="282"/>
      <c r="CI10" s="282"/>
      <c r="CJ10" s="283"/>
      <c r="CK10" s="45"/>
      <c r="CL10" s="45"/>
    </row>
    <row r="12" spans="4:90">
      <c r="E12" s="87" t="s">
        <v>243</v>
      </c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348" t="s">
        <v>244</v>
      </c>
      <c r="AW12" s="348"/>
      <c r="AX12" s="348"/>
      <c r="AY12" s="348"/>
      <c r="AZ12" s="348"/>
      <c r="BA12" s="348"/>
      <c r="BB12" s="348"/>
      <c r="BC12" s="348"/>
      <c r="BD12" s="348"/>
      <c r="BE12" s="348"/>
      <c r="BF12" s="348"/>
      <c r="BG12" s="348"/>
      <c r="BH12" s="348"/>
      <c r="BI12" s="348"/>
      <c r="BJ12" s="348"/>
      <c r="BK12" s="348"/>
      <c r="BL12" s="348"/>
      <c r="BM12" s="348"/>
      <c r="BN12" s="348"/>
      <c r="BO12" s="348"/>
      <c r="BP12" s="348"/>
      <c r="BQ12" s="348"/>
      <c r="BR12" s="348"/>
      <c r="BS12" s="348"/>
      <c r="BT12" s="348"/>
      <c r="BU12" s="348"/>
      <c r="BV12" s="348"/>
      <c r="BW12" s="348"/>
      <c r="BX12" s="348"/>
      <c r="BY12" s="348"/>
      <c r="BZ12" s="348"/>
      <c r="CA12" s="348"/>
      <c r="CB12" s="348"/>
      <c r="CC12" s="348"/>
      <c r="CD12" s="348"/>
      <c r="CE12" s="348"/>
      <c r="CF12" s="348"/>
      <c r="CG12" s="348"/>
      <c r="CH12" s="348"/>
      <c r="CI12" s="348"/>
      <c r="CJ12" s="349"/>
    </row>
    <row r="13" spans="4:90" ht="13.5" customHeight="1">
      <c r="E13" s="350" t="s">
        <v>45</v>
      </c>
      <c r="F13" s="85"/>
      <c r="G13" s="85"/>
      <c r="H13" s="85"/>
      <c r="I13" s="85"/>
      <c r="J13" s="351"/>
      <c r="K13" s="169" t="s">
        <v>246</v>
      </c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 t="s">
        <v>245</v>
      </c>
      <c r="AD13" s="170"/>
      <c r="AE13" s="170"/>
      <c r="AF13" s="170"/>
      <c r="AG13" s="170"/>
      <c r="AH13" s="170"/>
      <c r="AI13" s="170"/>
      <c r="AJ13" s="170"/>
      <c r="AK13" s="170"/>
      <c r="AL13" s="170"/>
      <c r="AM13" s="170"/>
      <c r="AN13" s="170"/>
      <c r="AO13" s="170"/>
      <c r="AP13" s="170"/>
      <c r="AQ13" s="170"/>
      <c r="AR13" s="170"/>
      <c r="AS13" s="170"/>
      <c r="AT13" s="170"/>
      <c r="AU13" s="194"/>
      <c r="AV13" s="169" t="s">
        <v>247</v>
      </c>
      <c r="AW13" s="170"/>
      <c r="AX13" s="170"/>
      <c r="AY13" s="170"/>
      <c r="AZ13" s="170"/>
      <c r="BA13" s="170"/>
      <c r="BB13" s="170"/>
      <c r="BC13" s="170"/>
      <c r="BD13" s="170"/>
      <c r="BE13" s="170"/>
      <c r="BF13" s="170"/>
      <c r="BG13" s="170"/>
      <c r="BH13" s="170"/>
      <c r="BI13" s="170"/>
      <c r="BJ13" s="170"/>
      <c r="BK13" s="170"/>
      <c r="BL13" s="170"/>
      <c r="BM13" s="170"/>
      <c r="BN13" s="194"/>
      <c r="BO13" s="169" t="s">
        <v>248</v>
      </c>
      <c r="BP13" s="170"/>
      <c r="BQ13" s="170"/>
      <c r="BR13" s="194"/>
      <c r="BS13" s="169" t="s">
        <v>249</v>
      </c>
      <c r="BT13" s="170"/>
      <c r="BU13" s="170"/>
      <c r="BV13" s="170"/>
      <c r="BW13" s="170"/>
      <c r="BX13" s="170"/>
      <c r="BY13" s="170"/>
      <c r="BZ13" s="170"/>
      <c r="CA13" s="170"/>
      <c r="CB13" s="170"/>
      <c r="CC13" s="170"/>
      <c r="CD13" s="170"/>
      <c r="CE13" s="170"/>
      <c r="CF13" s="170"/>
      <c r="CG13" s="170"/>
      <c r="CH13" s="170"/>
      <c r="CI13" s="170"/>
      <c r="CJ13" s="194"/>
    </row>
    <row r="14" spans="4:90" ht="13.5" customHeight="1">
      <c r="E14" s="352"/>
      <c r="F14" s="86"/>
      <c r="G14" s="86"/>
      <c r="H14" s="86"/>
      <c r="I14" s="86"/>
      <c r="J14" s="127"/>
      <c r="K14" s="196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7"/>
      <c r="AU14" s="198"/>
      <c r="AV14" s="196"/>
      <c r="AW14" s="197"/>
      <c r="AX14" s="197"/>
      <c r="AY14" s="197"/>
      <c r="AZ14" s="197"/>
      <c r="BA14" s="197"/>
      <c r="BB14" s="197"/>
      <c r="BC14" s="197"/>
      <c r="BD14" s="197"/>
      <c r="BE14" s="197"/>
      <c r="BF14" s="197"/>
      <c r="BG14" s="197"/>
      <c r="BH14" s="197"/>
      <c r="BI14" s="197"/>
      <c r="BJ14" s="197"/>
      <c r="BK14" s="197"/>
      <c r="BL14" s="197"/>
      <c r="BM14" s="197"/>
      <c r="BN14" s="198"/>
      <c r="BO14" s="171" t="s">
        <v>93</v>
      </c>
      <c r="BP14" s="172"/>
      <c r="BQ14" s="172"/>
      <c r="BR14" s="195"/>
      <c r="BS14" s="196"/>
      <c r="BT14" s="197"/>
      <c r="BU14" s="197"/>
      <c r="BV14" s="197"/>
      <c r="BW14" s="197"/>
      <c r="BX14" s="197"/>
      <c r="BY14" s="197"/>
      <c r="BZ14" s="197"/>
      <c r="CA14" s="197"/>
      <c r="CB14" s="197"/>
      <c r="CC14" s="197"/>
      <c r="CD14" s="197"/>
      <c r="CE14" s="197"/>
      <c r="CF14" s="197"/>
      <c r="CG14" s="197"/>
      <c r="CH14" s="197"/>
      <c r="CI14" s="197"/>
      <c r="CJ14" s="198"/>
    </row>
    <row r="15" spans="4:90" ht="13.5" customHeight="1">
      <c r="E15" s="356"/>
      <c r="F15" s="357"/>
      <c r="G15" s="357"/>
      <c r="H15" s="357"/>
      <c r="I15" s="357"/>
      <c r="J15" s="357"/>
      <c r="K15" s="333"/>
      <c r="L15" s="331"/>
      <c r="M15" s="331"/>
      <c r="N15" s="331"/>
      <c r="O15" s="331"/>
      <c r="P15" s="331"/>
      <c r="Q15" s="331"/>
      <c r="R15" s="331"/>
      <c r="S15" s="331"/>
      <c r="T15" s="331"/>
      <c r="U15" s="331"/>
      <c r="V15" s="331"/>
      <c r="W15" s="331"/>
      <c r="X15" s="331"/>
      <c r="Y15" s="331"/>
      <c r="Z15" s="331"/>
      <c r="AA15" s="331"/>
      <c r="AB15" s="331"/>
      <c r="AC15" s="331"/>
      <c r="AD15" s="331"/>
      <c r="AE15" s="331"/>
      <c r="AF15" s="331"/>
      <c r="AG15" s="331"/>
      <c r="AH15" s="331"/>
      <c r="AI15" s="331"/>
      <c r="AJ15" s="331"/>
      <c r="AK15" s="331"/>
      <c r="AL15" s="331"/>
      <c r="AM15" s="331"/>
      <c r="AN15" s="331"/>
      <c r="AO15" s="331"/>
      <c r="AP15" s="331"/>
      <c r="AQ15" s="331"/>
      <c r="AR15" s="331"/>
      <c r="AS15" s="331"/>
      <c r="AT15" s="331"/>
      <c r="AU15" s="334"/>
      <c r="AV15" s="333"/>
      <c r="AW15" s="331"/>
      <c r="AX15" s="331"/>
      <c r="AY15" s="331"/>
      <c r="AZ15" s="331"/>
      <c r="BA15" s="331"/>
      <c r="BB15" s="331"/>
      <c r="BC15" s="331"/>
      <c r="BD15" s="331"/>
      <c r="BE15" s="331"/>
      <c r="BF15" s="331"/>
      <c r="BG15" s="331"/>
      <c r="BH15" s="331"/>
      <c r="BI15" s="331"/>
      <c r="BJ15" s="331"/>
      <c r="BK15" s="331"/>
      <c r="BL15" s="331"/>
      <c r="BM15" s="331"/>
      <c r="BN15" s="332"/>
      <c r="BO15" s="333" t="s">
        <v>67</v>
      </c>
      <c r="BP15" s="331"/>
      <c r="BQ15" s="331"/>
      <c r="BR15" s="334"/>
      <c r="BS15" s="353"/>
      <c r="BT15" s="354"/>
      <c r="BU15" s="354"/>
      <c r="BV15" s="354"/>
      <c r="BW15" s="354"/>
      <c r="BX15" s="354"/>
      <c r="BY15" s="354"/>
      <c r="BZ15" s="354"/>
      <c r="CA15" s="354"/>
      <c r="CB15" s="354"/>
      <c r="CC15" s="354"/>
      <c r="CD15" s="354"/>
      <c r="CE15" s="354"/>
      <c r="CF15" s="354"/>
      <c r="CG15" s="354"/>
      <c r="CH15" s="354"/>
      <c r="CI15" s="354"/>
      <c r="CJ15" s="355"/>
    </row>
    <row r="16" spans="4:90" ht="13.5" customHeight="1">
      <c r="E16" s="358"/>
      <c r="F16" s="359"/>
      <c r="G16" s="359"/>
      <c r="H16" s="359"/>
      <c r="I16" s="359"/>
      <c r="J16" s="359"/>
      <c r="K16" s="344"/>
      <c r="L16" s="345"/>
      <c r="M16" s="345"/>
      <c r="N16" s="345"/>
      <c r="O16" s="345"/>
      <c r="P16" s="345"/>
      <c r="Q16" s="345"/>
      <c r="R16" s="345"/>
      <c r="S16" s="345"/>
      <c r="T16" s="345"/>
      <c r="U16" s="345"/>
      <c r="V16" s="345"/>
      <c r="W16" s="345"/>
      <c r="X16" s="345"/>
      <c r="Y16" s="345"/>
      <c r="Z16" s="345"/>
      <c r="AA16" s="345"/>
      <c r="AB16" s="345"/>
      <c r="AC16" s="345"/>
      <c r="AD16" s="345"/>
      <c r="AE16" s="345"/>
      <c r="AF16" s="345"/>
      <c r="AG16" s="345"/>
      <c r="AH16" s="345"/>
      <c r="AI16" s="345"/>
      <c r="AJ16" s="345"/>
      <c r="AK16" s="345"/>
      <c r="AL16" s="345"/>
      <c r="AM16" s="345"/>
      <c r="AN16" s="345"/>
      <c r="AO16" s="345"/>
      <c r="AP16" s="345"/>
      <c r="AQ16" s="345"/>
      <c r="AR16" s="345"/>
      <c r="AS16" s="345"/>
      <c r="AT16" s="345"/>
      <c r="AU16" s="346"/>
      <c r="AV16" s="344"/>
      <c r="AW16" s="345"/>
      <c r="AX16" s="345"/>
      <c r="AY16" s="345"/>
      <c r="AZ16" s="345"/>
      <c r="BA16" s="345"/>
      <c r="BB16" s="345"/>
      <c r="BC16" s="345"/>
      <c r="BD16" s="345"/>
      <c r="BE16" s="345"/>
      <c r="BF16" s="345"/>
      <c r="BG16" s="345"/>
      <c r="BH16" s="345"/>
      <c r="BI16" s="345"/>
      <c r="BJ16" s="345"/>
      <c r="BK16" s="345"/>
      <c r="BL16" s="345"/>
      <c r="BM16" s="345"/>
      <c r="BN16" s="347"/>
      <c r="BO16" s="344" t="s">
        <v>67</v>
      </c>
      <c r="BP16" s="345"/>
      <c r="BQ16" s="345"/>
      <c r="BR16" s="346"/>
      <c r="BS16" s="360"/>
      <c r="BT16" s="361"/>
      <c r="BU16" s="361"/>
      <c r="BV16" s="361"/>
      <c r="BW16" s="361"/>
      <c r="BX16" s="361"/>
      <c r="BY16" s="361"/>
      <c r="BZ16" s="361"/>
      <c r="CA16" s="361"/>
      <c r="CB16" s="361"/>
      <c r="CC16" s="361"/>
      <c r="CD16" s="361"/>
      <c r="CE16" s="361"/>
      <c r="CF16" s="361"/>
      <c r="CG16" s="361"/>
      <c r="CH16" s="361"/>
      <c r="CI16" s="361"/>
      <c r="CJ16" s="362"/>
    </row>
    <row r="17" spans="5:90" ht="13.5" customHeight="1">
      <c r="E17" s="358"/>
      <c r="F17" s="359"/>
      <c r="G17" s="359"/>
      <c r="H17" s="359"/>
      <c r="I17" s="359"/>
      <c r="J17" s="359"/>
      <c r="K17" s="344"/>
      <c r="L17" s="345"/>
      <c r="M17" s="345"/>
      <c r="N17" s="345"/>
      <c r="O17" s="345"/>
      <c r="P17" s="345"/>
      <c r="Q17" s="345"/>
      <c r="R17" s="345"/>
      <c r="S17" s="345"/>
      <c r="T17" s="345"/>
      <c r="U17" s="345"/>
      <c r="V17" s="345"/>
      <c r="W17" s="345"/>
      <c r="X17" s="345"/>
      <c r="Y17" s="345"/>
      <c r="Z17" s="345"/>
      <c r="AA17" s="345"/>
      <c r="AB17" s="345"/>
      <c r="AC17" s="345"/>
      <c r="AD17" s="345"/>
      <c r="AE17" s="345"/>
      <c r="AF17" s="345"/>
      <c r="AG17" s="345"/>
      <c r="AH17" s="345"/>
      <c r="AI17" s="345"/>
      <c r="AJ17" s="345"/>
      <c r="AK17" s="345"/>
      <c r="AL17" s="345"/>
      <c r="AM17" s="345"/>
      <c r="AN17" s="345"/>
      <c r="AO17" s="345"/>
      <c r="AP17" s="345"/>
      <c r="AQ17" s="345"/>
      <c r="AR17" s="345"/>
      <c r="AS17" s="345"/>
      <c r="AT17" s="345"/>
      <c r="AU17" s="346"/>
      <c r="AV17" s="344"/>
      <c r="AW17" s="345"/>
      <c r="AX17" s="345"/>
      <c r="AY17" s="345"/>
      <c r="AZ17" s="345"/>
      <c r="BA17" s="345"/>
      <c r="BB17" s="345"/>
      <c r="BC17" s="345"/>
      <c r="BD17" s="345"/>
      <c r="BE17" s="345"/>
      <c r="BF17" s="345"/>
      <c r="BG17" s="345"/>
      <c r="BH17" s="345"/>
      <c r="BI17" s="345"/>
      <c r="BJ17" s="345"/>
      <c r="BK17" s="345"/>
      <c r="BL17" s="345"/>
      <c r="BM17" s="345"/>
      <c r="BN17" s="347"/>
      <c r="BO17" s="344" t="s">
        <v>67</v>
      </c>
      <c r="BP17" s="345"/>
      <c r="BQ17" s="345"/>
      <c r="BR17" s="346"/>
      <c r="BS17" s="360"/>
      <c r="BT17" s="361"/>
      <c r="BU17" s="361"/>
      <c r="BV17" s="361"/>
      <c r="BW17" s="361"/>
      <c r="BX17" s="361"/>
      <c r="BY17" s="361"/>
      <c r="BZ17" s="361"/>
      <c r="CA17" s="361"/>
      <c r="CB17" s="361"/>
      <c r="CC17" s="361"/>
      <c r="CD17" s="361"/>
      <c r="CE17" s="361"/>
      <c r="CF17" s="361"/>
      <c r="CG17" s="361"/>
      <c r="CH17" s="361"/>
      <c r="CI17" s="361"/>
      <c r="CJ17" s="362"/>
    </row>
    <row r="18" spans="5:90" ht="13.5" customHeight="1">
      <c r="E18" s="358"/>
      <c r="F18" s="359"/>
      <c r="G18" s="359"/>
      <c r="H18" s="359"/>
      <c r="I18" s="359"/>
      <c r="J18" s="359"/>
      <c r="K18" s="344"/>
      <c r="L18" s="345"/>
      <c r="M18" s="345"/>
      <c r="N18" s="345"/>
      <c r="O18" s="345"/>
      <c r="P18" s="345"/>
      <c r="Q18" s="345"/>
      <c r="R18" s="345"/>
      <c r="S18" s="345"/>
      <c r="T18" s="345"/>
      <c r="U18" s="345"/>
      <c r="V18" s="345"/>
      <c r="W18" s="345"/>
      <c r="X18" s="345"/>
      <c r="Y18" s="345"/>
      <c r="Z18" s="345"/>
      <c r="AA18" s="345"/>
      <c r="AB18" s="345"/>
      <c r="AC18" s="345"/>
      <c r="AD18" s="345"/>
      <c r="AE18" s="345"/>
      <c r="AF18" s="345"/>
      <c r="AG18" s="345"/>
      <c r="AH18" s="345"/>
      <c r="AI18" s="345"/>
      <c r="AJ18" s="345"/>
      <c r="AK18" s="345"/>
      <c r="AL18" s="345"/>
      <c r="AM18" s="345"/>
      <c r="AN18" s="345"/>
      <c r="AO18" s="345"/>
      <c r="AP18" s="345"/>
      <c r="AQ18" s="345"/>
      <c r="AR18" s="345"/>
      <c r="AS18" s="345"/>
      <c r="AT18" s="345"/>
      <c r="AU18" s="346"/>
      <c r="AV18" s="344"/>
      <c r="AW18" s="345"/>
      <c r="AX18" s="345"/>
      <c r="AY18" s="345"/>
      <c r="AZ18" s="345"/>
      <c r="BA18" s="345"/>
      <c r="BB18" s="345"/>
      <c r="BC18" s="345"/>
      <c r="BD18" s="345"/>
      <c r="BE18" s="345"/>
      <c r="BF18" s="345"/>
      <c r="BG18" s="345"/>
      <c r="BH18" s="345"/>
      <c r="BI18" s="345"/>
      <c r="BJ18" s="345"/>
      <c r="BK18" s="345"/>
      <c r="BL18" s="345"/>
      <c r="BM18" s="345"/>
      <c r="BN18" s="347"/>
      <c r="BO18" s="358"/>
      <c r="BP18" s="359"/>
      <c r="BQ18" s="359"/>
      <c r="BR18" s="363"/>
      <c r="BS18" s="360"/>
      <c r="BT18" s="361"/>
      <c r="BU18" s="361"/>
      <c r="BV18" s="361"/>
      <c r="BW18" s="361"/>
      <c r="BX18" s="361"/>
      <c r="BY18" s="361"/>
      <c r="BZ18" s="361"/>
      <c r="CA18" s="361"/>
      <c r="CB18" s="361"/>
      <c r="CC18" s="361"/>
      <c r="CD18" s="361"/>
      <c r="CE18" s="361"/>
      <c r="CF18" s="361"/>
      <c r="CG18" s="361"/>
      <c r="CH18" s="361"/>
      <c r="CI18" s="361"/>
      <c r="CJ18" s="362"/>
    </row>
    <row r="19" spans="5:90" ht="13.5" customHeight="1">
      <c r="E19" s="358"/>
      <c r="F19" s="359"/>
      <c r="G19" s="359"/>
      <c r="H19" s="359"/>
      <c r="I19" s="359"/>
      <c r="J19" s="359"/>
      <c r="K19" s="344"/>
      <c r="L19" s="345"/>
      <c r="M19" s="345"/>
      <c r="N19" s="345"/>
      <c r="O19" s="345"/>
      <c r="P19" s="345"/>
      <c r="Q19" s="345"/>
      <c r="R19" s="345"/>
      <c r="S19" s="345"/>
      <c r="T19" s="345"/>
      <c r="U19" s="345"/>
      <c r="V19" s="345"/>
      <c r="W19" s="345"/>
      <c r="X19" s="345"/>
      <c r="Y19" s="345"/>
      <c r="Z19" s="345"/>
      <c r="AA19" s="345"/>
      <c r="AB19" s="345"/>
      <c r="AC19" s="345"/>
      <c r="AD19" s="345"/>
      <c r="AE19" s="345"/>
      <c r="AF19" s="345"/>
      <c r="AG19" s="345"/>
      <c r="AH19" s="345"/>
      <c r="AI19" s="345"/>
      <c r="AJ19" s="345"/>
      <c r="AK19" s="345"/>
      <c r="AL19" s="345"/>
      <c r="AM19" s="345"/>
      <c r="AN19" s="345"/>
      <c r="AO19" s="345"/>
      <c r="AP19" s="345"/>
      <c r="AQ19" s="345"/>
      <c r="AR19" s="345"/>
      <c r="AS19" s="345"/>
      <c r="AT19" s="345"/>
      <c r="AU19" s="346"/>
      <c r="AV19" s="344"/>
      <c r="AW19" s="345"/>
      <c r="AX19" s="345"/>
      <c r="AY19" s="345"/>
      <c r="AZ19" s="345"/>
      <c r="BA19" s="345"/>
      <c r="BB19" s="345"/>
      <c r="BC19" s="345"/>
      <c r="BD19" s="345"/>
      <c r="BE19" s="345"/>
      <c r="BF19" s="345"/>
      <c r="BG19" s="345"/>
      <c r="BH19" s="345"/>
      <c r="BI19" s="345"/>
      <c r="BJ19" s="345"/>
      <c r="BK19" s="345"/>
      <c r="BL19" s="345"/>
      <c r="BM19" s="345"/>
      <c r="BN19" s="347"/>
      <c r="BO19" s="358"/>
      <c r="BP19" s="359"/>
      <c r="BQ19" s="359"/>
      <c r="BR19" s="363"/>
      <c r="BS19" s="360"/>
      <c r="BT19" s="361"/>
      <c r="BU19" s="361"/>
      <c r="BV19" s="361"/>
      <c r="BW19" s="361"/>
      <c r="BX19" s="361"/>
      <c r="BY19" s="361"/>
      <c r="BZ19" s="361"/>
      <c r="CA19" s="361"/>
      <c r="CB19" s="361"/>
      <c r="CC19" s="361"/>
      <c r="CD19" s="361"/>
      <c r="CE19" s="361"/>
      <c r="CF19" s="361"/>
      <c r="CG19" s="361"/>
      <c r="CH19" s="361"/>
      <c r="CI19" s="361"/>
      <c r="CJ19" s="362"/>
    </row>
    <row r="20" spans="5:90" ht="13.5" customHeight="1">
      <c r="E20" s="364"/>
      <c r="F20" s="365"/>
      <c r="G20" s="365"/>
      <c r="H20" s="365"/>
      <c r="I20" s="365"/>
      <c r="J20" s="365"/>
      <c r="K20" s="303"/>
      <c r="L20" s="304"/>
      <c r="M20" s="304"/>
      <c r="N20" s="304"/>
      <c r="O20" s="304"/>
      <c r="P20" s="304"/>
      <c r="Q20" s="304"/>
      <c r="R20" s="304"/>
      <c r="S20" s="304"/>
      <c r="T20" s="304"/>
      <c r="U20" s="304"/>
      <c r="V20" s="304"/>
      <c r="W20" s="304"/>
      <c r="X20" s="304"/>
      <c r="Y20" s="304"/>
      <c r="Z20" s="304"/>
      <c r="AA20" s="304"/>
      <c r="AB20" s="304"/>
      <c r="AC20" s="304"/>
      <c r="AD20" s="304"/>
      <c r="AE20" s="304"/>
      <c r="AF20" s="304"/>
      <c r="AG20" s="304"/>
      <c r="AH20" s="304"/>
      <c r="AI20" s="304"/>
      <c r="AJ20" s="304"/>
      <c r="AK20" s="304"/>
      <c r="AL20" s="304"/>
      <c r="AM20" s="304"/>
      <c r="AN20" s="304"/>
      <c r="AO20" s="304"/>
      <c r="AP20" s="304"/>
      <c r="AQ20" s="304"/>
      <c r="AR20" s="304"/>
      <c r="AS20" s="304"/>
      <c r="AT20" s="304"/>
      <c r="AU20" s="305"/>
      <c r="AV20" s="303"/>
      <c r="AW20" s="304"/>
      <c r="AX20" s="304"/>
      <c r="AY20" s="304"/>
      <c r="AZ20" s="304"/>
      <c r="BA20" s="304"/>
      <c r="BB20" s="304"/>
      <c r="BC20" s="304"/>
      <c r="BD20" s="304"/>
      <c r="BE20" s="304"/>
      <c r="BF20" s="304"/>
      <c r="BG20" s="304"/>
      <c r="BH20" s="304"/>
      <c r="BI20" s="304"/>
      <c r="BJ20" s="304"/>
      <c r="BK20" s="304"/>
      <c r="BL20" s="304"/>
      <c r="BM20" s="304"/>
      <c r="BN20" s="307"/>
      <c r="BO20" s="358"/>
      <c r="BP20" s="359"/>
      <c r="BQ20" s="359"/>
      <c r="BR20" s="363"/>
      <c r="BS20" s="360"/>
      <c r="BT20" s="361"/>
      <c r="BU20" s="361"/>
      <c r="BV20" s="361"/>
      <c r="BW20" s="361"/>
      <c r="BX20" s="361"/>
      <c r="BY20" s="361"/>
      <c r="BZ20" s="361"/>
      <c r="CA20" s="361"/>
      <c r="CB20" s="361"/>
      <c r="CC20" s="361"/>
      <c r="CD20" s="361"/>
      <c r="CE20" s="361"/>
      <c r="CF20" s="361"/>
      <c r="CG20" s="361"/>
      <c r="CH20" s="361"/>
      <c r="CI20" s="361"/>
      <c r="CJ20" s="362"/>
    </row>
    <row r="21" spans="5:90">
      <c r="E21" s="364">
        <v>7</v>
      </c>
      <c r="F21" s="365"/>
      <c r="G21" s="365"/>
      <c r="H21" s="373"/>
      <c r="I21" s="407" t="s">
        <v>69</v>
      </c>
      <c r="J21" s="408"/>
      <c r="K21" s="408"/>
      <c r="L21" s="408"/>
      <c r="M21" s="408"/>
      <c r="N21" s="408"/>
      <c r="O21" s="408"/>
      <c r="P21" s="408"/>
      <c r="Q21" s="408"/>
      <c r="R21" s="408"/>
      <c r="S21" s="408"/>
      <c r="T21" s="408"/>
      <c r="U21" s="408"/>
      <c r="V21" s="408"/>
      <c r="W21" s="408"/>
      <c r="X21" s="408"/>
      <c r="Y21" s="408"/>
      <c r="Z21" s="408"/>
      <c r="AA21" s="408"/>
      <c r="AB21" s="408"/>
      <c r="AC21" s="408"/>
      <c r="AD21" s="408"/>
      <c r="AE21" s="408"/>
      <c r="AF21" s="408"/>
      <c r="AG21" s="408"/>
      <c r="AH21" s="408"/>
      <c r="AI21" s="408"/>
      <c r="AJ21" s="408"/>
      <c r="AK21" s="408"/>
      <c r="AL21" s="408"/>
      <c r="AM21" s="408"/>
      <c r="AN21" s="408"/>
      <c r="AO21" s="408"/>
      <c r="AP21" s="408"/>
      <c r="AQ21" s="408"/>
      <c r="AR21" s="408"/>
      <c r="AS21" s="408"/>
      <c r="AT21" s="408"/>
      <c r="AU21" s="408"/>
      <c r="AV21" s="408"/>
      <c r="AW21" s="408"/>
      <c r="AX21" s="408"/>
      <c r="AY21" s="408"/>
      <c r="AZ21" s="408"/>
      <c r="BA21" s="408"/>
      <c r="BB21" s="408"/>
      <c r="BC21" s="408"/>
      <c r="BD21" s="408"/>
      <c r="BE21" s="408"/>
      <c r="BF21" s="408"/>
      <c r="BG21" s="408"/>
      <c r="BH21" s="408"/>
      <c r="BI21" s="408"/>
      <c r="BJ21" s="408"/>
      <c r="BK21" s="408"/>
      <c r="BL21" s="408"/>
      <c r="BM21" s="408"/>
      <c r="BN21" s="408"/>
      <c r="BO21" s="364"/>
      <c r="BP21" s="365"/>
      <c r="BQ21" s="365"/>
      <c r="BR21" s="373"/>
      <c r="BS21" s="227">
        <f>SUM(BS15:CJ20)</f>
        <v>0</v>
      </c>
      <c r="BT21" s="227"/>
      <c r="BU21" s="227"/>
      <c r="BV21" s="227"/>
      <c r="BW21" s="227"/>
      <c r="BX21" s="227"/>
      <c r="BY21" s="227"/>
      <c r="BZ21" s="227"/>
      <c r="CA21" s="227"/>
      <c r="CB21" s="227"/>
      <c r="CC21" s="227"/>
      <c r="CD21" s="227"/>
      <c r="CE21" s="227"/>
      <c r="CF21" s="227"/>
      <c r="CG21" s="227"/>
      <c r="CH21" s="227"/>
      <c r="CI21" s="227"/>
      <c r="CJ21" s="228"/>
    </row>
    <row r="23" spans="5:90">
      <c r="E23" s="366" t="s">
        <v>268</v>
      </c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7"/>
      <c r="T23" s="367"/>
      <c r="U23" s="367"/>
      <c r="V23" s="367"/>
      <c r="W23" s="367"/>
      <c r="X23" s="367"/>
      <c r="Y23" s="367"/>
      <c r="Z23" s="367"/>
      <c r="AA23" s="370"/>
      <c r="AB23" s="366" t="s">
        <v>269</v>
      </c>
      <c r="AC23" s="367"/>
      <c r="AD23" s="367"/>
      <c r="AE23" s="367"/>
      <c r="AF23" s="367"/>
      <c r="AG23" s="367"/>
      <c r="AH23" s="367"/>
      <c r="AI23" s="367"/>
      <c r="AJ23" s="367"/>
      <c r="AK23" s="367"/>
      <c r="AL23" s="367"/>
      <c r="AM23" s="367"/>
      <c r="AN23" s="169" t="s">
        <v>270</v>
      </c>
      <c r="AO23" s="170"/>
      <c r="AP23" s="170"/>
      <c r="AQ23" s="170"/>
      <c r="AR23" s="170"/>
      <c r="AS23" s="170"/>
      <c r="AT23" s="170"/>
      <c r="AU23" s="170"/>
      <c r="AV23" s="170"/>
      <c r="AW23" s="170"/>
      <c r="AX23" s="170"/>
      <c r="AY23" s="170"/>
      <c r="AZ23" s="170"/>
      <c r="BA23" s="170"/>
      <c r="BB23" s="169" t="s">
        <v>272</v>
      </c>
      <c r="BC23" s="170"/>
      <c r="BD23" s="170"/>
      <c r="BE23" s="170"/>
      <c r="BF23" s="170"/>
      <c r="BG23" s="170"/>
      <c r="BH23" s="170"/>
      <c r="BI23" s="170"/>
      <c r="BJ23" s="170"/>
      <c r="BK23" s="170"/>
      <c r="BL23" s="170"/>
      <c r="BM23" s="170"/>
      <c r="BN23" s="170"/>
      <c r="BO23" s="170"/>
      <c r="BP23" s="170"/>
      <c r="BQ23" s="170"/>
      <c r="BR23" s="170"/>
      <c r="BS23" s="170"/>
      <c r="BT23" s="170"/>
      <c r="BU23" s="170"/>
      <c r="BV23" s="194"/>
      <c r="BW23" s="248" t="s">
        <v>274</v>
      </c>
      <c r="BX23" s="248"/>
      <c r="BY23" s="248"/>
      <c r="BZ23" s="248"/>
      <c r="CA23" s="248"/>
      <c r="CB23" s="248"/>
      <c r="CC23" s="248"/>
      <c r="CD23" s="248"/>
      <c r="CE23" s="248"/>
      <c r="CF23" s="248"/>
      <c r="CG23" s="248"/>
      <c r="CH23" s="248"/>
      <c r="CI23" s="248"/>
      <c r="CJ23" s="248"/>
      <c r="CK23" s="248"/>
      <c r="CL23" s="250"/>
    </row>
    <row r="24" spans="5:90">
      <c r="E24" s="368"/>
      <c r="F24" s="369"/>
      <c r="G24" s="369"/>
      <c r="H24" s="369"/>
      <c r="I24" s="369"/>
      <c r="J24" s="369"/>
      <c r="K24" s="369"/>
      <c r="L24" s="369"/>
      <c r="M24" s="369"/>
      <c r="N24" s="369"/>
      <c r="O24" s="369"/>
      <c r="P24" s="369"/>
      <c r="Q24" s="369"/>
      <c r="R24" s="369"/>
      <c r="S24" s="369"/>
      <c r="T24" s="369"/>
      <c r="U24" s="369"/>
      <c r="V24" s="369"/>
      <c r="W24" s="369"/>
      <c r="X24" s="369"/>
      <c r="Y24" s="369"/>
      <c r="Z24" s="369"/>
      <c r="AA24" s="371"/>
      <c r="AB24" s="368"/>
      <c r="AC24" s="369"/>
      <c r="AD24" s="369"/>
      <c r="AE24" s="369"/>
      <c r="AF24" s="369"/>
      <c r="AG24" s="369"/>
      <c r="AH24" s="369"/>
      <c r="AI24" s="369"/>
      <c r="AJ24" s="369"/>
      <c r="AK24" s="369"/>
      <c r="AL24" s="369"/>
      <c r="AM24" s="369"/>
      <c r="AN24" s="196" t="s">
        <v>271</v>
      </c>
      <c r="AO24" s="197"/>
      <c r="AP24" s="197"/>
      <c r="AQ24" s="197"/>
      <c r="AR24" s="197"/>
      <c r="AS24" s="197"/>
      <c r="AT24" s="197"/>
      <c r="AU24" s="197"/>
      <c r="AV24" s="197"/>
      <c r="AW24" s="197"/>
      <c r="AX24" s="197"/>
      <c r="AY24" s="197"/>
      <c r="AZ24" s="197"/>
      <c r="BA24" s="197"/>
      <c r="BB24" s="196" t="s">
        <v>273</v>
      </c>
      <c r="BC24" s="197"/>
      <c r="BD24" s="197"/>
      <c r="BE24" s="197"/>
      <c r="BF24" s="197"/>
      <c r="BG24" s="197"/>
      <c r="BH24" s="197"/>
      <c r="BI24" s="197"/>
      <c r="BJ24" s="197"/>
      <c r="BK24" s="197"/>
      <c r="BL24" s="197"/>
      <c r="BM24" s="197"/>
      <c r="BN24" s="197"/>
      <c r="BO24" s="197"/>
      <c r="BP24" s="197"/>
      <c r="BQ24" s="197"/>
      <c r="BR24" s="197"/>
      <c r="BS24" s="197"/>
      <c r="BT24" s="197"/>
      <c r="BU24" s="197"/>
      <c r="BV24" s="198"/>
      <c r="BW24" s="197" t="s">
        <v>275</v>
      </c>
      <c r="BX24" s="197"/>
      <c r="BY24" s="197"/>
      <c r="BZ24" s="197"/>
      <c r="CA24" s="197"/>
      <c r="CB24" s="197"/>
      <c r="CC24" s="197"/>
      <c r="CD24" s="197"/>
      <c r="CE24" s="197"/>
      <c r="CF24" s="197"/>
      <c r="CG24" s="197"/>
      <c r="CH24" s="197"/>
      <c r="CI24" s="197"/>
      <c r="CJ24" s="197"/>
      <c r="CK24" s="197"/>
      <c r="CL24" s="198"/>
    </row>
    <row r="25" spans="5:90">
      <c r="E25" s="356"/>
      <c r="F25" s="357"/>
      <c r="G25" s="357"/>
      <c r="H25" s="357"/>
      <c r="I25" s="357"/>
      <c r="J25" s="357"/>
      <c r="K25" s="357"/>
      <c r="L25" s="357"/>
      <c r="M25" s="357"/>
      <c r="N25" s="357"/>
      <c r="O25" s="357"/>
      <c r="P25" s="357"/>
      <c r="Q25" s="357"/>
      <c r="R25" s="357"/>
      <c r="S25" s="357"/>
      <c r="T25" s="357"/>
      <c r="U25" s="357"/>
      <c r="V25" s="357"/>
      <c r="W25" s="357"/>
      <c r="X25" s="357"/>
      <c r="Y25" s="357"/>
      <c r="Z25" s="357"/>
      <c r="AA25" s="372"/>
      <c r="AB25" s="356"/>
      <c r="AC25" s="357"/>
      <c r="AD25" s="357"/>
      <c r="AE25" s="357"/>
      <c r="AF25" s="357"/>
      <c r="AG25" s="357"/>
      <c r="AH25" s="357"/>
      <c r="AI25" s="357"/>
      <c r="AJ25" s="357"/>
      <c r="AK25" s="357"/>
      <c r="AL25" s="357"/>
      <c r="AM25" s="372"/>
      <c r="AN25" s="297" t="s">
        <v>261</v>
      </c>
      <c r="AO25" s="297"/>
      <c r="AP25" s="297"/>
      <c r="AQ25" s="297"/>
      <c r="AR25" s="297"/>
      <c r="AS25" s="297"/>
      <c r="AT25" s="297"/>
      <c r="AU25" s="297"/>
      <c r="AV25" s="297"/>
      <c r="AW25" s="297"/>
      <c r="AX25" s="297"/>
      <c r="AY25" s="297"/>
      <c r="AZ25" s="297"/>
      <c r="BA25" s="297"/>
      <c r="BB25" s="375" t="s">
        <v>256</v>
      </c>
      <c r="BC25" s="376"/>
      <c r="BD25" s="376"/>
      <c r="BE25" s="376"/>
      <c r="BF25" s="376"/>
      <c r="BG25" s="376"/>
      <c r="BH25" s="376"/>
      <c r="BI25" s="376"/>
      <c r="BJ25" s="376"/>
      <c r="BK25" s="376"/>
      <c r="BL25" s="376"/>
      <c r="BM25" s="376"/>
      <c r="BN25" s="376"/>
      <c r="BO25" s="376"/>
      <c r="BP25" s="376"/>
      <c r="BQ25" s="376"/>
      <c r="BR25" s="376"/>
      <c r="BS25" s="376"/>
      <c r="BT25" s="376"/>
      <c r="BU25" s="376"/>
      <c r="BV25" s="377"/>
      <c r="BW25" s="374" t="s">
        <v>295</v>
      </c>
      <c r="BX25" s="374"/>
      <c r="BY25" s="374"/>
      <c r="BZ25" s="374"/>
      <c r="CA25" s="374"/>
      <c r="CB25" s="374"/>
      <c r="CC25" s="374"/>
      <c r="CD25" s="374"/>
      <c r="CE25" s="374"/>
      <c r="CF25" s="374"/>
      <c r="CG25" s="374"/>
      <c r="CH25" s="374"/>
      <c r="CI25" s="374"/>
      <c r="CJ25" s="374"/>
      <c r="CK25" s="374"/>
      <c r="CL25" s="155"/>
    </row>
    <row r="26" spans="5:90">
      <c r="E26" s="358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  <c r="R26" s="359"/>
      <c r="S26" s="359"/>
      <c r="T26" s="359"/>
      <c r="U26" s="359"/>
      <c r="V26" s="359"/>
      <c r="W26" s="359"/>
      <c r="X26" s="359"/>
      <c r="Y26" s="359"/>
      <c r="Z26" s="359"/>
      <c r="AA26" s="363"/>
      <c r="AB26" s="364"/>
      <c r="AC26" s="365"/>
      <c r="AD26" s="365"/>
      <c r="AE26" s="365"/>
      <c r="AF26" s="365"/>
      <c r="AG26" s="365"/>
      <c r="AH26" s="365"/>
      <c r="AI26" s="365"/>
      <c r="AJ26" s="365"/>
      <c r="AK26" s="365"/>
      <c r="AL26" s="365"/>
      <c r="AM26" s="373"/>
      <c r="AN26" s="297" t="s">
        <v>262</v>
      </c>
      <c r="AO26" s="297"/>
      <c r="AP26" s="297"/>
      <c r="AQ26" s="297"/>
      <c r="AR26" s="297"/>
      <c r="AS26" s="297"/>
      <c r="AT26" s="297"/>
      <c r="AU26" s="297"/>
      <c r="AV26" s="297"/>
      <c r="AW26" s="297"/>
      <c r="AX26" s="297"/>
      <c r="AY26" s="297"/>
      <c r="AZ26" s="297"/>
      <c r="BA26" s="297"/>
      <c r="BB26" s="240" t="s">
        <v>257</v>
      </c>
      <c r="BC26" s="241"/>
      <c r="BD26" s="241"/>
      <c r="BE26" s="241"/>
      <c r="BF26" s="241"/>
      <c r="BG26" s="241"/>
      <c r="BH26" s="241"/>
      <c r="BI26" s="241"/>
      <c r="BJ26" s="241"/>
      <c r="BK26" s="241"/>
      <c r="BL26" s="241"/>
      <c r="BM26" s="241"/>
      <c r="BN26" s="241"/>
      <c r="BO26" s="241"/>
      <c r="BP26" s="241"/>
      <c r="BQ26" s="241"/>
      <c r="BR26" s="241"/>
      <c r="BS26" s="241"/>
      <c r="BT26" s="241"/>
      <c r="BU26" s="241"/>
      <c r="BV26" s="378"/>
      <c r="BW26" s="86" t="s">
        <v>293</v>
      </c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127"/>
    </row>
    <row r="27" spans="5:90">
      <c r="E27" s="428" t="s">
        <v>276</v>
      </c>
      <c r="F27" s="429"/>
      <c r="G27" s="429"/>
      <c r="H27" s="429"/>
      <c r="I27" s="429"/>
      <c r="J27" s="429"/>
      <c r="K27" s="429"/>
      <c r="L27" s="429"/>
      <c r="M27" s="429"/>
      <c r="N27" s="429"/>
      <c r="O27" s="429"/>
      <c r="P27" s="429"/>
      <c r="Q27" s="430"/>
      <c r="R27" s="425" t="s">
        <v>285</v>
      </c>
      <c r="S27" s="426"/>
      <c r="T27" s="426"/>
      <c r="U27" s="426"/>
      <c r="V27" s="426"/>
      <c r="W27" s="426"/>
      <c r="X27" s="426"/>
      <c r="Y27" s="426"/>
      <c r="Z27" s="426"/>
      <c r="AA27" s="427"/>
      <c r="AB27" s="422">
        <f>'IBS-IRG'!CQ34</f>
        <v>0</v>
      </c>
      <c r="AC27" s="423"/>
      <c r="AD27" s="423"/>
      <c r="AE27" s="423"/>
      <c r="AF27" s="423"/>
      <c r="AG27" s="423"/>
      <c r="AH27" s="423"/>
      <c r="AI27" s="423"/>
      <c r="AJ27" s="423"/>
      <c r="AK27" s="423"/>
      <c r="AL27" s="423"/>
      <c r="AM27" s="424"/>
      <c r="AN27" s="376" t="s">
        <v>265</v>
      </c>
      <c r="AO27" s="376"/>
      <c r="AP27" s="376"/>
      <c r="AQ27" s="376"/>
      <c r="AR27" s="376"/>
      <c r="AS27" s="376"/>
      <c r="AT27" s="376"/>
      <c r="AU27" s="376"/>
      <c r="AV27" s="376"/>
      <c r="AW27" s="376"/>
      <c r="AX27" s="376"/>
      <c r="AY27" s="376"/>
      <c r="AZ27" s="376"/>
      <c r="BA27" s="376"/>
      <c r="BB27" s="240" t="s">
        <v>250</v>
      </c>
      <c r="BC27" s="241"/>
      <c r="BD27" s="241"/>
      <c r="BE27" s="241"/>
      <c r="BF27" s="241"/>
      <c r="BG27" s="241"/>
      <c r="BH27" s="241"/>
      <c r="BI27" s="241"/>
      <c r="BJ27" s="241"/>
      <c r="BK27" s="241"/>
      <c r="BL27" s="241"/>
      <c r="BM27" s="241"/>
      <c r="BN27" s="241"/>
      <c r="BO27" s="241"/>
      <c r="BP27" s="241"/>
      <c r="BQ27" s="241"/>
      <c r="BR27" s="241"/>
      <c r="BS27" s="241"/>
      <c r="BT27" s="241"/>
      <c r="BU27" s="241"/>
      <c r="BV27" s="378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127"/>
    </row>
    <row r="28" spans="5:90">
      <c r="E28" s="409" t="s">
        <v>277</v>
      </c>
      <c r="F28" s="410"/>
      <c r="G28" s="410"/>
      <c r="H28" s="410"/>
      <c r="I28" s="410"/>
      <c r="J28" s="410"/>
      <c r="K28" s="410"/>
      <c r="L28" s="410"/>
      <c r="M28" s="410"/>
      <c r="N28" s="410"/>
      <c r="O28" s="410"/>
      <c r="P28" s="410"/>
      <c r="Q28" s="411"/>
      <c r="R28" s="380" t="s">
        <v>286</v>
      </c>
      <c r="S28" s="381"/>
      <c r="T28" s="381"/>
      <c r="U28" s="381"/>
      <c r="V28" s="381"/>
      <c r="W28" s="381"/>
      <c r="X28" s="381"/>
      <c r="Y28" s="381"/>
      <c r="Z28" s="381"/>
      <c r="AA28" s="382"/>
      <c r="AB28" s="383">
        <f>'IBS-IRG'!CQ40</f>
        <v>0</v>
      </c>
      <c r="AC28" s="384"/>
      <c r="AD28" s="384"/>
      <c r="AE28" s="384"/>
      <c r="AF28" s="384"/>
      <c r="AG28" s="384"/>
      <c r="AH28" s="384"/>
      <c r="AI28" s="384"/>
      <c r="AJ28" s="384"/>
      <c r="AK28" s="384"/>
      <c r="AL28" s="384"/>
      <c r="AM28" s="385"/>
      <c r="AN28" s="379" t="s">
        <v>263</v>
      </c>
      <c r="AO28" s="379"/>
      <c r="AP28" s="379"/>
      <c r="AQ28" s="379"/>
      <c r="AR28" s="379"/>
      <c r="AS28" s="379"/>
      <c r="AT28" s="379"/>
      <c r="AU28" s="379"/>
      <c r="AV28" s="379"/>
      <c r="AW28" s="379"/>
      <c r="AX28" s="379"/>
      <c r="AY28" s="379"/>
      <c r="AZ28" s="379"/>
      <c r="BA28" s="379"/>
      <c r="BB28" s="240" t="s">
        <v>251</v>
      </c>
      <c r="BC28" s="241"/>
      <c r="BD28" s="241"/>
      <c r="BE28" s="241"/>
      <c r="BF28" s="241"/>
      <c r="BG28" s="241"/>
      <c r="BH28" s="241"/>
      <c r="BI28" s="241"/>
      <c r="BJ28" s="241"/>
      <c r="BK28" s="241"/>
      <c r="BL28" s="241"/>
      <c r="BM28" s="241"/>
      <c r="BN28" s="241"/>
      <c r="BO28" s="241"/>
      <c r="BP28" s="241"/>
      <c r="BQ28" s="241"/>
      <c r="BR28" s="241"/>
      <c r="BS28" s="241"/>
      <c r="BT28" s="241"/>
      <c r="BU28" s="241"/>
      <c r="BV28" s="378"/>
      <c r="BW28" s="374" t="s">
        <v>294</v>
      </c>
      <c r="BX28" s="374"/>
      <c r="BY28" s="374"/>
      <c r="BZ28" s="374"/>
      <c r="CA28" s="374"/>
      <c r="CB28" s="374"/>
      <c r="CC28" s="374"/>
      <c r="CD28" s="374"/>
      <c r="CE28" s="374"/>
      <c r="CF28" s="374"/>
      <c r="CG28" s="374"/>
      <c r="CH28" s="374"/>
      <c r="CI28" s="374"/>
      <c r="CJ28" s="374"/>
      <c r="CK28" s="374"/>
      <c r="CL28" s="155"/>
    </row>
    <row r="29" spans="5:90">
      <c r="E29" s="416" t="s">
        <v>278</v>
      </c>
      <c r="F29" s="417"/>
      <c r="G29" s="417"/>
      <c r="H29" s="417"/>
      <c r="I29" s="417"/>
      <c r="J29" s="417"/>
      <c r="K29" s="417"/>
      <c r="L29" s="417"/>
      <c r="M29" s="417"/>
      <c r="N29" s="417"/>
      <c r="O29" s="417"/>
      <c r="P29" s="417"/>
      <c r="Q29" s="418"/>
      <c r="R29" s="412" t="s">
        <v>287</v>
      </c>
      <c r="S29" s="413"/>
      <c r="T29" s="413"/>
      <c r="U29" s="413"/>
      <c r="V29" s="413"/>
      <c r="W29" s="413"/>
      <c r="X29" s="413"/>
      <c r="Y29" s="413"/>
      <c r="Z29" s="413"/>
      <c r="AA29" s="414"/>
      <c r="AB29" s="383">
        <f>'IBS-IRG'!CQ46</f>
        <v>0</v>
      </c>
      <c r="AC29" s="384"/>
      <c r="AD29" s="384"/>
      <c r="AE29" s="384"/>
      <c r="AF29" s="384"/>
      <c r="AG29" s="384"/>
      <c r="AH29" s="384"/>
      <c r="AI29" s="384"/>
      <c r="AJ29" s="384"/>
      <c r="AK29" s="384"/>
      <c r="AL29" s="384"/>
      <c r="AM29" s="385"/>
      <c r="AN29" s="241" t="s">
        <v>266</v>
      </c>
      <c r="AO29" s="241"/>
      <c r="AP29" s="241"/>
      <c r="AQ29" s="241"/>
      <c r="AR29" s="241"/>
      <c r="AS29" s="241"/>
      <c r="AT29" s="241"/>
      <c r="AU29" s="241"/>
      <c r="AV29" s="241"/>
      <c r="AW29" s="241"/>
      <c r="AX29" s="241"/>
      <c r="AY29" s="241"/>
      <c r="AZ29" s="241"/>
      <c r="BA29" s="241"/>
      <c r="BB29" s="240" t="s">
        <v>252</v>
      </c>
      <c r="BC29" s="241"/>
      <c r="BD29" s="241"/>
      <c r="BE29" s="241"/>
      <c r="BF29" s="241"/>
      <c r="BG29" s="241"/>
      <c r="BH29" s="241"/>
      <c r="BI29" s="241"/>
      <c r="BJ29" s="241"/>
      <c r="BK29" s="241"/>
      <c r="BL29" s="241"/>
      <c r="BM29" s="241"/>
      <c r="BN29" s="241"/>
      <c r="BO29" s="241"/>
      <c r="BP29" s="241"/>
      <c r="BQ29" s="241"/>
      <c r="BR29" s="241"/>
      <c r="BS29" s="241"/>
      <c r="BT29" s="241"/>
      <c r="BU29" s="241"/>
      <c r="BV29" s="378"/>
      <c r="BW29" s="359" t="s">
        <v>296</v>
      </c>
      <c r="BX29" s="359"/>
      <c r="BY29" s="359"/>
      <c r="BZ29" s="359"/>
      <c r="CA29" s="359"/>
      <c r="CB29" s="359"/>
      <c r="CC29" s="359"/>
      <c r="CD29" s="359"/>
      <c r="CE29" s="359"/>
      <c r="CF29" s="359"/>
      <c r="CG29" s="359"/>
      <c r="CH29" s="359"/>
      <c r="CI29" s="359"/>
      <c r="CJ29" s="359"/>
      <c r="CK29" s="359"/>
      <c r="CL29" s="363"/>
    </row>
    <row r="30" spans="5:90">
      <c r="E30" s="419" t="s">
        <v>279</v>
      </c>
      <c r="F30" s="420"/>
      <c r="G30" s="420"/>
      <c r="H30" s="420"/>
      <c r="I30" s="420"/>
      <c r="J30" s="420"/>
      <c r="K30" s="420"/>
      <c r="L30" s="420"/>
      <c r="M30" s="420"/>
      <c r="N30" s="420"/>
      <c r="O30" s="420"/>
      <c r="P30" s="420"/>
      <c r="Q30" s="421"/>
      <c r="R30" s="412"/>
      <c r="S30" s="413"/>
      <c r="T30" s="413"/>
      <c r="U30" s="413"/>
      <c r="V30" s="413"/>
      <c r="W30" s="413"/>
      <c r="X30" s="413"/>
      <c r="Y30" s="413"/>
      <c r="Z30" s="413"/>
      <c r="AA30" s="414"/>
      <c r="AB30" s="415"/>
      <c r="AC30" s="384"/>
      <c r="AD30" s="384"/>
      <c r="AE30" s="384"/>
      <c r="AF30" s="384"/>
      <c r="AG30" s="384"/>
      <c r="AH30" s="384"/>
      <c r="AI30" s="384"/>
      <c r="AJ30" s="384"/>
      <c r="AK30" s="384"/>
      <c r="AL30" s="384"/>
      <c r="AM30" s="385"/>
      <c r="AN30" s="241" t="s">
        <v>264</v>
      </c>
      <c r="AO30" s="241"/>
      <c r="AP30" s="241"/>
      <c r="AQ30" s="241"/>
      <c r="AR30" s="241"/>
      <c r="AS30" s="241"/>
      <c r="AT30" s="241"/>
      <c r="AU30" s="241"/>
      <c r="AV30" s="241"/>
      <c r="AW30" s="241"/>
      <c r="AX30" s="241"/>
      <c r="AY30" s="241"/>
      <c r="AZ30" s="241"/>
      <c r="BA30" s="241"/>
      <c r="BB30" s="240" t="s">
        <v>300</v>
      </c>
      <c r="BC30" s="241"/>
      <c r="BD30" s="241"/>
      <c r="BE30" s="241"/>
      <c r="BF30" s="241"/>
      <c r="BG30" s="241"/>
      <c r="BH30" s="241"/>
      <c r="BI30" s="241"/>
      <c r="BJ30" s="241"/>
      <c r="BK30" s="241"/>
      <c r="BL30" s="241"/>
      <c r="BM30" s="241"/>
      <c r="BN30" s="241"/>
      <c r="BO30" s="241"/>
      <c r="BP30" s="241"/>
      <c r="BQ30" s="241"/>
      <c r="BR30" s="241"/>
      <c r="BS30" s="241"/>
      <c r="BT30" s="241"/>
      <c r="BU30" s="241"/>
      <c r="BV30" s="378"/>
      <c r="BW30" s="359" t="s">
        <v>296</v>
      </c>
      <c r="BX30" s="359"/>
      <c r="BY30" s="359"/>
      <c r="BZ30" s="359"/>
      <c r="CA30" s="359"/>
      <c r="CB30" s="359"/>
      <c r="CC30" s="359"/>
      <c r="CD30" s="359"/>
      <c r="CE30" s="359"/>
      <c r="CF30" s="359"/>
      <c r="CG30" s="359"/>
      <c r="CH30" s="359"/>
      <c r="CI30" s="359"/>
      <c r="CJ30" s="359"/>
      <c r="CK30" s="359"/>
      <c r="CL30" s="363"/>
    </row>
    <row r="31" spans="5:90">
      <c r="E31" s="431" t="s">
        <v>280</v>
      </c>
      <c r="F31" s="432"/>
      <c r="G31" s="432"/>
      <c r="H31" s="432"/>
      <c r="I31" s="432"/>
      <c r="J31" s="432"/>
      <c r="K31" s="432"/>
      <c r="L31" s="432"/>
      <c r="M31" s="432"/>
      <c r="N31" s="432"/>
      <c r="O31" s="432"/>
      <c r="P31" s="432"/>
      <c r="Q31" s="433"/>
      <c r="R31" s="380" t="s">
        <v>288</v>
      </c>
      <c r="S31" s="381"/>
      <c r="T31" s="381"/>
      <c r="U31" s="381"/>
      <c r="V31" s="381"/>
      <c r="W31" s="381"/>
      <c r="X31" s="381"/>
      <c r="Y31" s="381"/>
      <c r="Z31" s="381"/>
      <c r="AA31" s="382"/>
      <c r="AB31" s="383">
        <f>'IBS-IRG'!CQ56</f>
        <v>0</v>
      </c>
      <c r="AC31" s="384"/>
      <c r="AD31" s="384"/>
      <c r="AE31" s="384"/>
      <c r="AF31" s="384"/>
      <c r="AG31" s="384"/>
      <c r="AH31" s="384"/>
      <c r="AI31" s="384"/>
      <c r="AJ31" s="384"/>
      <c r="AK31" s="384"/>
      <c r="AL31" s="384"/>
      <c r="AM31" s="385"/>
      <c r="AN31" s="48" t="s">
        <v>254</v>
      </c>
      <c r="AO31" s="172"/>
      <c r="AP31" s="172"/>
      <c r="AQ31" s="172"/>
      <c r="AR31" s="172"/>
      <c r="AS31" s="172"/>
      <c r="AT31" s="172"/>
      <c r="AU31" s="172" t="s">
        <v>259</v>
      </c>
      <c r="AV31" s="172"/>
      <c r="AW31" s="172"/>
      <c r="AX31" s="172"/>
      <c r="AY31" s="172"/>
      <c r="AZ31" s="172"/>
      <c r="BA31" s="172"/>
      <c r="BB31" s="240" t="s">
        <v>258</v>
      </c>
      <c r="BC31" s="241"/>
      <c r="BD31" s="241"/>
      <c r="BE31" s="241"/>
      <c r="BF31" s="241"/>
      <c r="BG31" s="241"/>
      <c r="BH31" s="241"/>
      <c r="BI31" s="241"/>
      <c r="BJ31" s="241"/>
      <c r="BK31" s="241"/>
      <c r="BL31" s="241"/>
      <c r="BM31" s="241"/>
      <c r="BN31" s="241"/>
      <c r="BO31" s="241"/>
      <c r="BP31" s="241"/>
      <c r="BQ31" s="241"/>
      <c r="BR31" s="241"/>
      <c r="BS31" s="241"/>
      <c r="BT31" s="241"/>
      <c r="BU31" s="241"/>
      <c r="BV31" s="378"/>
      <c r="BW31" s="359" t="s">
        <v>296</v>
      </c>
      <c r="BX31" s="359"/>
      <c r="BY31" s="359"/>
      <c r="BZ31" s="359"/>
      <c r="CA31" s="359"/>
      <c r="CB31" s="359"/>
      <c r="CC31" s="359"/>
      <c r="CD31" s="359"/>
      <c r="CE31" s="359"/>
      <c r="CF31" s="359"/>
      <c r="CG31" s="359"/>
      <c r="CH31" s="359"/>
      <c r="CI31" s="359"/>
      <c r="CJ31" s="359"/>
      <c r="CK31" s="359"/>
      <c r="CL31" s="363"/>
    </row>
    <row r="32" spans="5:90">
      <c r="E32" s="183" t="s">
        <v>281</v>
      </c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406"/>
      <c r="R32" s="380" t="s">
        <v>289</v>
      </c>
      <c r="S32" s="381"/>
      <c r="T32" s="381"/>
      <c r="U32" s="381"/>
      <c r="V32" s="381"/>
      <c r="W32" s="381"/>
      <c r="X32" s="381"/>
      <c r="Y32" s="381"/>
      <c r="Z32" s="381"/>
      <c r="AA32" s="382"/>
      <c r="AB32" s="383">
        <f>TLS!CL34</f>
        <v>0</v>
      </c>
      <c r="AC32" s="384"/>
      <c r="AD32" s="384"/>
      <c r="AE32" s="384"/>
      <c r="AF32" s="384"/>
      <c r="AG32" s="384"/>
      <c r="AH32" s="384"/>
      <c r="AI32" s="384"/>
      <c r="AJ32" s="384"/>
      <c r="AK32" s="384"/>
      <c r="AL32" s="384"/>
      <c r="AM32" s="385"/>
      <c r="AN32" s="241" t="s">
        <v>267</v>
      </c>
      <c r="AO32" s="241"/>
      <c r="AP32" s="241"/>
      <c r="AQ32" s="241"/>
      <c r="AR32" s="241"/>
      <c r="AS32" s="241"/>
      <c r="AT32" s="241"/>
      <c r="AU32" s="241"/>
      <c r="AV32" s="241"/>
      <c r="AW32" s="241"/>
      <c r="AX32" s="241"/>
      <c r="AY32" s="241"/>
      <c r="AZ32" s="241"/>
      <c r="BA32" s="241"/>
      <c r="BB32" s="240" t="s">
        <v>299</v>
      </c>
      <c r="BC32" s="241"/>
      <c r="BD32" s="241"/>
      <c r="BE32" s="241"/>
      <c r="BF32" s="241"/>
      <c r="BG32" s="241"/>
      <c r="BH32" s="241"/>
      <c r="BI32" s="241"/>
      <c r="BJ32" s="241"/>
      <c r="BK32" s="241"/>
      <c r="BL32" s="241"/>
      <c r="BM32" s="241"/>
      <c r="BN32" s="241"/>
      <c r="BO32" s="241"/>
      <c r="BP32" s="241"/>
      <c r="BQ32" s="241"/>
      <c r="BR32" s="241"/>
      <c r="BS32" s="241"/>
      <c r="BT32" s="241"/>
      <c r="BU32" s="241"/>
      <c r="BV32" s="378"/>
      <c r="BW32" s="359" t="s">
        <v>296</v>
      </c>
      <c r="BX32" s="359"/>
      <c r="BY32" s="359"/>
      <c r="BZ32" s="359"/>
      <c r="CA32" s="359"/>
      <c r="CB32" s="359"/>
      <c r="CC32" s="359"/>
      <c r="CD32" s="359"/>
      <c r="CE32" s="359"/>
      <c r="CF32" s="359"/>
      <c r="CG32" s="359"/>
      <c r="CH32" s="359"/>
      <c r="CI32" s="359"/>
      <c r="CJ32" s="359"/>
      <c r="CK32" s="359"/>
      <c r="CL32" s="363"/>
    </row>
    <row r="33" spans="5:90">
      <c r="E33" s="183" t="s">
        <v>282</v>
      </c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406"/>
      <c r="R33" s="380" t="s">
        <v>285</v>
      </c>
      <c r="S33" s="381"/>
      <c r="T33" s="381"/>
      <c r="U33" s="381"/>
      <c r="V33" s="381"/>
      <c r="W33" s="381"/>
      <c r="X33" s="381"/>
      <c r="Y33" s="381"/>
      <c r="Z33" s="381"/>
      <c r="AA33" s="382"/>
      <c r="AB33" s="383">
        <f>BP9</f>
        <v>0</v>
      </c>
      <c r="AC33" s="384"/>
      <c r="AD33" s="384"/>
      <c r="AE33" s="384"/>
      <c r="AF33" s="384"/>
      <c r="AG33" s="384"/>
      <c r="AH33" s="384"/>
      <c r="AI33" s="384"/>
      <c r="AJ33" s="384"/>
      <c r="AK33" s="384"/>
      <c r="AL33" s="384"/>
      <c r="AM33" s="385"/>
      <c r="AN33" s="358"/>
      <c r="AO33" s="359"/>
      <c r="AP33" s="359"/>
      <c r="AQ33" s="359"/>
      <c r="AR33" s="359"/>
      <c r="AS33" s="359"/>
      <c r="AT33" s="359"/>
      <c r="AU33" s="359"/>
      <c r="AV33" s="359"/>
      <c r="AW33" s="359"/>
      <c r="AX33" s="359"/>
      <c r="AY33" s="359"/>
      <c r="AZ33" s="359"/>
      <c r="BA33" s="363"/>
      <c r="BB33" s="240" t="s">
        <v>253</v>
      </c>
      <c r="BC33" s="241"/>
      <c r="BD33" s="241"/>
      <c r="BE33" s="241"/>
      <c r="BF33" s="241"/>
      <c r="BG33" s="241"/>
      <c r="BH33" s="241"/>
      <c r="BI33" s="241"/>
      <c r="BJ33" s="241"/>
      <c r="BK33" s="241"/>
      <c r="BL33" s="241"/>
      <c r="BM33" s="241"/>
      <c r="BN33" s="241"/>
      <c r="BO33" s="241"/>
      <c r="BP33" s="241"/>
      <c r="BQ33" s="241"/>
      <c r="BR33" s="241"/>
      <c r="BS33" s="241"/>
      <c r="BT33" s="241"/>
      <c r="BU33" s="241"/>
      <c r="BV33" s="378"/>
      <c r="BW33" s="359" t="s">
        <v>296</v>
      </c>
      <c r="BX33" s="359"/>
      <c r="BY33" s="359"/>
      <c r="BZ33" s="359"/>
      <c r="CA33" s="359"/>
      <c r="CB33" s="359"/>
      <c r="CC33" s="359"/>
      <c r="CD33" s="359"/>
      <c r="CE33" s="359"/>
      <c r="CF33" s="359"/>
      <c r="CG33" s="359"/>
      <c r="CH33" s="359"/>
      <c r="CI33" s="359"/>
      <c r="CJ33" s="359"/>
      <c r="CK33" s="359"/>
      <c r="CL33" s="363"/>
    </row>
    <row r="34" spans="5:90">
      <c r="E34" s="183" t="s">
        <v>283</v>
      </c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406"/>
      <c r="R34" s="380" t="s">
        <v>290</v>
      </c>
      <c r="S34" s="381"/>
      <c r="T34" s="381"/>
      <c r="U34" s="381"/>
      <c r="V34" s="381"/>
      <c r="W34" s="381"/>
      <c r="X34" s="381"/>
      <c r="Y34" s="381"/>
      <c r="Z34" s="381"/>
      <c r="AA34" s="382"/>
      <c r="AB34" s="383">
        <f>BS21</f>
        <v>0</v>
      </c>
      <c r="AC34" s="384"/>
      <c r="AD34" s="384"/>
      <c r="AE34" s="384"/>
      <c r="AF34" s="384"/>
      <c r="AG34" s="384"/>
      <c r="AH34" s="384"/>
      <c r="AI34" s="384"/>
      <c r="AJ34" s="384"/>
      <c r="AK34" s="384"/>
      <c r="AL34" s="384"/>
      <c r="AM34" s="385"/>
      <c r="AN34" s="358"/>
      <c r="AO34" s="359"/>
      <c r="AP34" s="359"/>
      <c r="AQ34" s="359"/>
      <c r="AR34" s="359"/>
      <c r="AS34" s="359"/>
      <c r="AT34" s="359"/>
      <c r="AU34" s="359"/>
      <c r="AV34" s="359"/>
      <c r="AW34" s="359"/>
      <c r="AX34" s="359"/>
      <c r="AY34" s="359"/>
      <c r="AZ34" s="359"/>
      <c r="BA34" s="363"/>
      <c r="BB34" s="47" t="s">
        <v>254</v>
      </c>
      <c r="BC34" s="172" t="s">
        <v>297</v>
      </c>
      <c r="BD34" s="172"/>
      <c r="BE34" s="172"/>
      <c r="BF34" s="172"/>
      <c r="BG34" s="172"/>
      <c r="BH34" s="172"/>
      <c r="BI34" s="172"/>
      <c r="BJ34" s="172"/>
      <c r="BK34" s="172"/>
      <c r="BL34" s="172" t="s">
        <v>259</v>
      </c>
      <c r="BM34" s="172"/>
      <c r="BN34" s="172" t="s">
        <v>298</v>
      </c>
      <c r="BO34" s="172"/>
      <c r="BP34" s="172"/>
      <c r="BQ34" s="172"/>
      <c r="BR34" s="172"/>
      <c r="BS34" s="172"/>
      <c r="BT34" s="172"/>
      <c r="BU34" s="172"/>
      <c r="BV34" s="195"/>
      <c r="BW34" s="359" t="s">
        <v>296</v>
      </c>
      <c r="BX34" s="359"/>
      <c r="BY34" s="359"/>
      <c r="BZ34" s="359"/>
      <c r="CA34" s="359"/>
      <c r="CB34" s="359"/>
      <c r="CC34" s="359"/>
      <c r="CD34" s="359"/>
      <c r="CE34" s="359"/>
      <c r="CF34" s="359"/>
      <c r="CG34" s="359"/>
      <c r="CH34" s="359"/>
      <c r="CI34" s="359"/>
      <c r="CJ34" s="359"/>
      <c r="CK34" s="359"/>
      <c r="CL34" s="363"/>
    </row>
    <row r="35" spans="5:90">
      <c r="E35" s="183" t="s">
        <v>284</v>
      </c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406"/>
      <c r="R35" s="380" t="s">
        <v>291</v>
      </c>
      <c r="S35" s="381"/>
      <c r="T35" s="381"/>
      <c r="U35" s="381"/>
      <c r="V35" s="381"/>
      <c r="W35" s="381"/>
      <c r="X35" s="381"/>
      <c r="Y35" s="381"/>
      <c r="Z35" s="381"/>
      <c r="AA35" s="382"/>
      <c r="AB35" s="383">
        <f>TVA!CD42</f>
        <v>0</v>
      </c>
      <c r="AC35" s="384"/>
      <c r="AD35" s="384"/>
      <c r="AE35" s="384"/>
      <c r="AF35" s="384"/>
      <c r="AG35" s="384"/>
      <c r="AH35" s="384"/>
      <c r="AI35" s="384"/>
      <c r="AJ35" s="384"/>
      <c r="AK35" s="384"/>
      <c r="AL35" s="384"/>
      <c r="AM35" s="385"/>
      <c r="AN35" s="358"/>
      <c r="AO35" s="359"/>
      <c r="AP35" s="359"/>
      <c r="AQ35" s="359"/>
      <c r="AR35" s="359"/>
      <c r="AS35" s="359"/>
      <c r="AT35" s="359"/>
      <c r="AU35" s="359"/>
      <c r="AV35" s="359"/>
      <c r="AW35" s="359"/>
      <c r="AX35" s="359"/>
      <c r="AY35" s="359"/>
      <c r="AZ35" s="359"/>
      <c r="BA35" s="363"/>
      <c r="BB35" s="171" t="s">
        <v>255</v>
      </c>
      <c r="BC35" s="172"/>
      <c r="BD35" s="172"/>
      <c r="BE35" s="172"/>
      <c r="BF35" s="172"/>
      <c r="BG35" s="172"/>
      <c r="BH35" s="172"/>
      <c r="BI35" s="172"/>
      <c r="BJ35" s="172"/>
      <c r="BK35" s="172"/>
      <c r="BL35" s="172"/>
      <c r="BM35" s="172"/>
      <c r="BN35" s="172"/>
      <c r="BO35" s="172"/>
      <c r="BP35" s="172"/>
      <c r="BQ35" s="172"/>
      <c r="BR35" s="172"/>
      <c r="BS35" s="172"/>
      <c r="BT35" s="172"/>
      <c r="BU35" s="172"/>
      <c r="BV35" s="195"/>
      <c r="BW35" s="359" t="s">
        <v>296</v>
      </c>
      <c r="BX35" s="359"/>
      <c r="BY35" s="359"/>
      <c r="BZ35" s="359"/>
      <c r="CA35" s="359"/>
      <c r="CB35" s="359"/>
      <c r="CC35" s="359"/>
      <c r="CD35" s="359"/>
      <c r="CE35" s="359"/>
      <c r="CF35" s="359"/>
      <c r="CG35" s="359"/>
      <c r="CH35" s="359"/>
      <c r="CI35" s="359"/>
      <c r="CJ35" s="359"/>
      <c r="CK35" s="359"/>
      <c r="CL35" s="363"/>
    </row>
    <row r="36" spans="5:90">
      <c r="E36" s="395"/>
      <c r="F36" s="396"/>
      <c r="G36" s="396"/>
      <c r="H36" s="396"/>
      <c r="I36" s="396"/>
      <c r="J36" s="396"/>
      <c r="K36" s="396"/>
      <c r="L36" s="396"/>
      <c r="M36" s="396"/>
      <c r="N36" s="396"/>
      <c r="O36" s="396"/>
      <c r="P36" s="396"/>
      <c r="Q36" s="396"/>
      <c r="R36" s="393"/>
      <c r="S36" s="393"/>
      <c r="T36" s="393"/>
      <c r="U36" s="393"/>
      <c r="V36" s="393"/>
      <c r="W36" s="393"/>
      <c r="X36" s="393"/>
      <c r="Y36" s="393"/>
      <c r="Z36" s="393"/>
      <c r="AA36" s="394"/>
      <c r="AB36" s="397"/>
      <c r="AC36" s="398"/>
      <c r="AD36" s="398"/>
      <c r="AE36" s="398"/>
      <c r="AF36" s="398"/>
      <c r="AG36" s="398"/>
      <c r="AH36" s="398"/>
      <c r="AI36" s="398"/>
      <c r="AJ36" s="398"/>
      <c r="AK36" s="398"/>
      <c r="AL36" s="398"/>
      <c r="AM36" s="399"/>
      <c r="AN36" s="358"/>
      <c r="AO36" s="359"/>
      <c r="AP36" s="359"/>
      <c r="AQ36" s="359"/>
      <c r="AR36" s="359"/>
      <c r="AS36" s="359"/>
      <c r="AT36" s="359"/>
      <c r="AU36" s="359"/>
      <c r="AV36" s="359"/>
      <c r="AW36" s="359"/>
      <c r="AX36" s="359"/>
      <c r="AY36" s="359"/>
      <c r="AZ36" s="359"/>
      <c r="BA36" s="363"/>
      <c r="BB36" s="240" t="s">
        <v>260</v>
      </c>
      <c r="BC36" s="241"/>
      <c r="BD36" s="241"/>
      <c r="BE36" s="241"/>
      <c r="BF36" s="241"/>
      <c r="BG36" s="241"/>
      <c r="BH36" s="241"/>
      <c r="BI36" s="241"/>
      <c r="BJ36" s="241"/>
      <c r="BK36" s="241"/>
      <c r="BL36" s="241"/>
      <c r="BM36" s="241"/>
      <c r="BN36" s="241"/>
      <c r="BO36" s="241"/>
      <c r="BP36" s="241"/>
      <c r="BQ36" s="241"/>
      <c r="BR36" s="241"/>
      <c r="BS36" s="241"/>
      <c r="BT36" s="241"/>
      <c r="BU36" s="241"/>
      <c r="BV36" s="378"/>
      <c r="BW36" s="359" t="s">
        <v>296</v>
      </c>
      <c r="BX36" s="359"/>
      <c r="BY36" s="359"/>
      <c r="BZ36" s="359"/>
      <c r="CA36" s="359"/>
      <c r="CB36" s="359"/>
      <c r="CC36" s="359"/>
      <c r="CD36" s="359"/>
      <c r="CE36" s="359"/>
      <c r="CF36" s="359"/>
      <c r="CG36" s="359"/>
      <c r="CH36" s="359"/>
      <c r="CI36" s="359"/>
      <c r="CJ36" s="359"/>
      <c r="CK36" s="359"/>
      <c r="CL36" s="363"/>
    </row>
    <row r="37" spans="5:90">
      <c r="E37" s="211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359"/>
      <c r="S37" s="359"/>
      <c r="T37" s="359"/>
      <c r="U37" s="359"/>
      <c r="V37" s="359"/>
      <c r="W37" s="359"/>
      <c r="X37" s="359"/>
      <c r="Y37" s="359"/>
      <c r="Z37" s="359"/>
      <c r="AA37" s="363"/>
      <c r="AB37" s="400"/>
      <c r="AC37" s="401"/>
      <c r="AD37" s="401"/>
      <c r="AE37" s="401"/>
      <c r="AF37" s="401"/>
      <c r="AG37" s="401"/>
      <c r="AH37" s="401"/>
      <c r="AI37" s="401"/>
      <c r="AJ37" s="401"/>
      <c r="AK37" s="401"/>
      <c r="AL37" s="401"/>
      <c r="AM37" s="402"/>
      <c r="AN37" s="358"/>
      <c r="AO37" s="359"/>
      <c r="AP37" s="359"/>
      <c r="AQ37" s="359"/>
      <c r="AR37" s="359"/>
      <c r="AS37" s="359"/>
      <c r="AT37" s="359"/>
      <c r="AU37" s="359"/>
      <c r="AV37" s="359"/>
      <c r="AW37" s="359"/>
      <c r="AX37" s="359"/>
      <c r="AY37" s="359"/>
      <c r="AZ37" s="359"/>
      <c r="BA37" s="363"/>
      <c r="BB37" s="171"/>
      <c r="BC37" s="172"/>
      <c r="BD37" s="172"/>
      <c r="BE37" s="172"/>
      <c r="BF37" s="172"/>
      <c r="BG37" s="172"/>
      <c r="BH37" s="172"/>
      <c r="BI37" s="172"/>
      <c r="BJ37" s="172"/>
      <c r="BK37" s="172"/>
      <c r="BL37" s="172"/>
      <c r="BM37" s="172"/>
      <c r="BN37" s="172"/>
      <c r="BO37" s="172"/>
      <c r="BP37" s="172"/>
      <c r="BQ37" s="172"/>
      <c r="BR37" s="172"/>
      <c r="BS37" s="172"/>
      <c r="BT37" s="172"/>
      <c r="BU37" s="172"/>
      <c r="BV37" s="59"/>
      <c r="BW37" s="359" t="s">
        <v>296</v>
      </c>
      <c r="BX37" s="359"/>
      <c r="BY37" s="359"/>
      <c r="BZ37" s="359"/>
      <c r="CA37" s="359"/>
      <c r="CB37" s="359"/>
      <c r="CC37" s="359"/>
      <c r="CD37" s="359"/>
      <c r="CE37" s="359"/>
      <c r="CF37" s="359"/>
      <c r="CG37" s="359"/>
      <c r="CH37" s="359"/>
      <c r="CI37" s="359"/>
      <c r="CJ37" s="359"/>
      <c r="CK37" s="359"/>
      <c r="CL37" s="363"/>
    </row>
    <row r="38" spans="5:90">
      <c r="E38" s="224"/>
      <c r="F38" s="225"/>
      <c r="G38" s="225"/>
      <c r="H38" s="225"/>
      <c r="I38" s="225"/>
      <c r="J38" s="225"/>
      <c r="K38" s="225"/>
      <c r="L38" s="225"/>
      <c r="M38" s="225"/>
      <c r="N38" s="225"/>
      <c r="O38" s="225"/>
      <c r="P38" s="225"/>
      <c r="Q38" s="225"/>
      <c r="R38" s="365"/>
      <c r="S38" s="365"/>
      <c r="T38" s="365"/>
      <c r="U38" s="365"/>
      <c r="V38" s="365"/>
      <c r="W38" s="365"/>
      <c r="X38" s="365"/>
      <c r="Y38" s="365"/>
      <c r="Z38" s="365"/>
      <c r="AA38" s="373"/>
      <c r="AB38" s="403"/>
      <c r="AC38" s="404"/>
      <c r="AD38" s="404"/>
      <c r="AE38" s="404"/>
      <c r="AF38" s="404"/>
      <c r="AG38" s="404"/>
      <c r="AH38" s="404"/>
      <c r="AI38" s="404"/>
      <c r="AJ38" s="404"/>
      <c r="AK38" s="404"/>
      <c r="AL38" s="404"/>
      <c r="AM38" s="405"/>
      <c r="AN38" s="358"/>
      <c r="AO38" s="359"/>
      <c r="AP38" s="359"/>
      <c r="AQ38" s="359"/>
      <c r="AR38" s="359"/>
      <c r="AS38" s="359"/>
      <c r="AT38" s="359"/>
      <c r="AU38" s="359"/>
      <c r="AV38" s="359"/>
      <c r="AW38" s="359"/>
      <c r="AX38" s="359"/>
      <c r="AY38" s="359"/>
      <c r="AZ38" s="359"/>
      <c r="BA38" s="363"/>
      <c r="BB38" s="171"/>
      <c r="BC38" s="172"/>
      <c r="BD38" s="172"/>
      <c r="BE38" s="172"/>
      <c r="BF38" s="172"/>
      <c r="BG38" s="172"/>
      <c r="BH38" s="172"/>
      <c r="BI38" s="172"/>
      <c r="BJ38" s="172"/>
      <c r="BK38" s="172"/>
      <c r="BL38" s="172"/>
      <c r="BM38" s="172"/>
      <c r="BN38" s="172"/>
      <c r="BO38" s="172"/>
      <c r="BP38" s="172"/>
      <c r="BQ38" s="172"/>
      <c r="BR38" s="172"/>
      <c r="BS38" s="172"/>
      <c r="BT38" s="172"/>
      <c r="BU38" s="172"/>
      <c r="BV38" s="59"/>
      <c r="BW38" s="359" t="s">
        <v>296</v>
      </c>
      <c r="BX38" s="359"/>
      <c r="BY38" s="359"/>
      <c r="BZ38" s="359"/>
      <c r="CA38" s="359"/>
      <c r="CB38" s="359"/>
      <c r="CC38" s="359"/>
      <c r="CD38" s="359"/>
      <c r="CE38" s="359"/>
      <c r="CF38" s="359"/>
      <c r="CG38" s="359"/>
      <c r="CH38" s="359"/>
      <c r="CI38" s="359"/>
      <c r="CJ38" s="359"/>
      <c r="CK38" s="359"/>
      <c r="CL38" s="363"/>
    </row>
    <row r="39" spans="5:90" ht="21" customHeight="1">
      <c r="E39" s="390" t="s">
        <v>292</v>
      </c>
      <c r="F39" s="391"/>
      <c r="G39" s="391"/>
      <c r="H39" s="391"/>
      <c r="I39" s="391"/>
      <c r="J39" s="391"/>
      <c r="K39" s="391"/>
      <c r="L39" s="391"/>
      <c r="M39" s="391"/>
      <c r="N39" s="391"/>
      <c r="O39" s="391"/>
      <c r="P39" s="391"/>
      <c r="Q39" s="391"/>
      <c r="R39" s="391"/>
      <c r="S39" s="391"/>
      <c r="T39" s="391"/>
      <c r="U39" s="391"/>
      <c r="V39" s="391"/>
      <c r="W39" s="391"/>
      <c r="X39" s="391"/>
      <c r="Y39" s="391"/>
      <c r="Z39" s="391"/>
      <c r="AA39" s="392"/>
      <c r="AB39" s="387">
        <f>SUM(AB27:AM36)</f>
        <v>0</v>
      </c>
      <c r="AC39" s="388"/>
      <c r="AD39" s="388"/>
      <c r="AE39" s="388"/>
      <c r="AF39" s="388"/>
      <c r="AG39" s="388"/>
      <c r="AH39" s="388"/>
      <c r="AI39" s="388"/>
      <c r="AJ39" s="388"/>
      <c r="AK39" s="388"/>
      <c r="AL39" s="388"/>
      <c r="AM39" s="389"/>
      <c r="AN39" s="364"/>
      <c r="AO39" s="365"/>
      <c r="AP39" s="365"/>
      <c r="AQ39" s="365"/>
      <c r="AR39" s="365"/>
      <c r="AS39" s="365"/>
      <c r="AT39" s="365"/>
      <c r="AU39" s="365"/>
      <c r="AV39" s="365"/>
      <c r="AW39" s="365"/>
      <c r="AX39" s="365"/>
      <c r="AY39" s="365"/>
      <c r="AZ39" s="365"/>
      <c r="BA39" s="373"/>
      <c r="BB39" s="196"/>
      <c r="BC39" s="197"/>
      <c r="BD39" s="197"/>
      <c r="BE39" s="197"/>
      <c r="BF39" s="197"/>
      <c r="BG39" s="197"/>
      <c r="BH39" s="197"/>
      <c r="BI39" s="197"/>
      <c r="BJ39" s="197"/>
      <c r="BK39" s="197"/>
      <c r="BL39" s="197"/>
      <c r="BM39" s="197"/>
      <c r="BN39" s="197"/>
      <c r="BO39" s="197"/>
      <c r="BP39" s="197"/>
      <c r="BQ39" s="197"/>
      <c r="BR39" s="197"/>
      <c r="BS39" s="197"/>
      <c r="BT39" s="197"/>
      <c r="BU39" s="197"/>
      <c r="BV39" s="49"/>
      <c r="BW39" s="386" t="s">
        <v>296</v>
      </c>
      <c r="BX39" s="128"/>
      <c r="BY39" s="128"/>
      <c r="BZ39" s="128"/>
      <c r="CA39" s="128"/>
      <c r="CB39" s="128"/>
      <c r="CC39" s="128"/>
      <c r="CD39" s="128"/>
      <c r="CE39" s="128"/>
      <c r="CF39" s="128"/>
      <c r="CG39" s="128"/>
      <c r="CH39" s="128"/>
      <c r="CI39" s="128"/>
      <c r="CJ39" s="128"/>
      <c r="CK39" s="128"/>
      <c r="CL39" s="129"/>
    </row>
  </sheetData>
  <mergeCells count="151">
    <mergeCell ref="BS21:CJ21"/>
    <mergeCell ref="E21:H21"/>
    <mergeCell ref="I21:BN21"/>
    <mergeCell ref="BO21:BR21"/>
    <mergeCell ref="BC34:BK34"/>
    <mergeCell ref="BL34:BM34"/>
    <mergeCell ref="BN34:BV34"/>
    <mergeCell ref="AO31:AT31"/>
    <mergeCell ref="AU31:AV31"/>
    <mergeCell ref="AW31:BA31"/>
    <mergeCell ref="E28:Q28"/>
    <mergeCell ref="R28:AA28"/>
    <mergeCell ref="AB28:AM28"/>
    <mergeCell ref="R29:AA30"/>
    <mergeCell ref="AB29:AM30"/>
    <mergeCell ref="E29:Q29"/>
    <mergeCell ref="E30:Q30"/>
    <mergeCell ref="E34:Q34"/>
    <mergeCell ref="R34:AA34"/>
    <mergeCell ref="AB34:AM34"/>
    <mergeCell ref="AB27:AM27"/>
    <mergeCell ref="R27:AA27"/>
    <mergeCell ref="E27:Q27"/>
    <mergeCell ref="E31:Q31"/>
    <mergeCell ref="E35:Q35"/>
    <mergeCell ref="R35:AA35"/>
    <mergeCell ref="AB35:AM35"/>
    <mergeCell ref="E32:Q32"/>
    <mergeCell ref="R32:AA32"/>
    <mergeCell ref="AB32:AM32"/>
    <mergeCell ref="E33:Q33"/>
    <mergeCell ref="R33:AA33"/>
    <mergeCell ref="AB33:AM33"/>
    <mergeCell ref="R31:AA31"/>
    <mergeCell ref="AB31:AM31"/>
    <mergeCell ref="BW39:CL39"/>
    <mergeCell ref="AB39:AM39"/>
    <mergeCell ref="E39:AA39"/>
    <mergeCell ref="R36:AA38"/>
    <mergeCell ref="E36:Q38"/>
    <mergeCell ref="AB36:AM38"/>
    <mergeCell ref="AN33:BA39"/>
    <mergeCell ref="BB35:BV35"/>
    <mergeCell ref="BW35:CL35"/>
    <mergeCell ref="BB36:BV36"/>
    <mergeCell ref="BW36:CL36"/>
    <mergeCell ref="BB37:BU39"/>
    <mergeCell ref="BW37:CL37"/>
    <mergeCell ref="BW38:CL38"/>
    <mergeCell ref="BB33:BV33"/>
    <mergeCell ref="BW33:CL33"/>
    <mergeCell ref="BW34:CL34"/>
    <mergeCell ref="BB31:BV31"/>
    <mergeCell ref="BW31:CL31"/>
    <mergeCell ref="AN32:BA32"/>
    <mergeCell ref="BB32:BV32"/>
    <mergeCell ref="BW32:CL32"/>
    <mergeCell ref="AN29:BA29"/>
    <mergeCell ref="BB29:BV29"/>
    <mergeCell ref="BW29:CL29"/>
    <mergeCell ref="AN30:BA30"/>
    <mergeCell ref="BB30:BV30"/>
    <mergeCell ref="BW30:CL30"/>
    <mergeCell ref="AN27:BA27"/>
    <mergeCell ref="BB27:BV27"/>
    <mergeCell ref="AN28:BA28"/>
    <mergeCell ref="BB28:BV28"/>
    <mergeCell ref="BW28:CL28"/>
    <mergeCell ref="BW26:CL27"/>
    <mergeCell ref="AB23:AM24"/>
    <mergeCell ref="E23:AA24"/>
    <mergeCell ref="AB25:AM26"/>
    <mergeCell ref="E25:AA26"/>
    <mergeCell ref="BW25:CL25"/>
    <mergeCell ref="BB25:BV25"/>
    <mergeCell ref="AN25:BA25"/>
    <mergeCell ref="AN26:BA26"/>
    <mergeCell ref="BB26:BV26"/>
    <mergeCell ref="AN23:BA23"/>
    <mergeCell ref="BB23:BV23"/>
    <mergeCell ref="BW23:CL23"/>
    <mergeCell ref="AN24:BA24"/>
    <mergeCell ref="BB24:BV24"/>
    <mergeCell ref="BW24:CL24"/>
    <mergeCell ref="E19:J19"/>
    <mergeCell ref="K19:AU19"/>
    <mergeCell ref="AV19:BN19"/>
    <mergeCell ref="BO19:BR19"/>
    <mergeCell ref="BS19:CJ19"/>
    <mergeCell ref="E20:J20"/>
    <mergeCell ref="K20:AU20"/>
    <mergeCell ref="AV20:BN20"/>
    <mergeCell ref="BO20:BR20"/>
    <mergeCell ref="BS20:CJ20"/>
    <mergeCell ref="E17:J17"/>
    <mergeCell ref="K17:AU17"/>
    <mergeCell ref="AV17:BN17"/>
    <mergeCell ref="BO17:BR17"/>
    <mergeCell ref="BS17:CJ17"/>
    <mergeCell ref="E18:J18"/>
    <mergeCell ref="K18:AU18"/>
    <mergeCell ref="AV18:BN18"/>
    <mergeCell ref="BO18:BR18"/>
    <mergeCell ref="BS18:CJ18"/>
    <mergeCell ref="BS15:CJ15"/>
    <mergeCell ref="BO15:BR15"/>
    <mergeCell ref="AV15:BN15"/>
    <mergeCell ref="K15:AU15"/>
    <mergeCell ref="E15:J15"/>
    <mergeCell ref="E16:J16"/>
    <mergeCell ref="K16:AU16"/>
    <mergeCell ref="AV16:BN16"/>
    <mergeCell ref="BO16:BR16"/>
    <mergeCell ref="BS16:CJ16"/>
    <mergeCell ref="E12:AU12"/>
    <mergeCell ref="AV12:CJ12"/>
    <mergeCell ref="BO13:BR13"/>
    <mergeCell ref="BO14:BR14"/>
    <mergeCell ref="BS13:CJ14"/>
    <mergeCell ref="AV13:BN14"/>
    <mergeCell ref="AC13:AU14"/>
    <mergeCell ref="K13:AB14"/>
    <mergeCell ref="E13:J14"/>
    <mergeCell ref="AT8:BK8"/>
    <mergeCell ref="BL8:BO8"/>
    <mergeCell ref="BP8:CJ8"/>
    <mergeCell ref="E9:F10"/>
    <mergeCell ref="G9:AS9"/>
    <mergeCell ref="G10:AS10"/>
    <mergeCell ref="AT9:BO10"/>
    <mergeCell ref="BP9:CJ10"/>
    <mergeCell ref="BP6:CJ6"/>
    <mergeCell ref="BL6:BO6"/>
    <mergeCell ref="AT6:BK6"/>
    <mergeCell ref="I6:AS6"/>
    <mergeCell ref="E6:H8"/>
    <mergeCell ref="BP7:CJ7"/>
    <mergeCell ref="BL7:BO7"/>
    <mergeCell ref="AT7:BK7"/>
    <mergeCell ref="I7:AS7"/>
    <mergeCell ref="I8:AS8"/>
    <mergeCell ref="E3:AS3"/>
    <mergeCell ref="AT3:CJ3"/>
    <mergeCell ref="AA4:AS5"/>
    <mergeCell ref="I4:Z5"/>
    <mergeCell ref="E4:H5"/>
    <mergeCell ref="AT4:BK4"/>
    <mergeCell ref="AT5:BK5"/>
    <mergeCell ref="BL4:BO4"/>
    <mergeCell ref="BL5:BO5"/>
    <mergeCell ref="BP4:CJ5"/>
  </mergeCells>
  <pageMargins left="0" right="1.0416666666666666E-2" top="0" bottom="3.125E-2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D1:CU45"/>
  <sheetViews>
    <sheetView view="pageLayout" workbookViewId="0">
      <selection activeCell="CM47" sqref="CM47"/>
    </sheetView>
  </sheetViews>
  <sheetFormatPr baseColWidth="10" defaultRowHeight="15"/>
  <cols>
    <col min="1" max="59" width="1.42578125" style="19" customWidth="1"/>
    <col min="60" max="60" width="1.7109375" style="19" customWidth="1"/>
    <col min="61" max="82" width="1.42578125" style="19" customWidth="1"/>
    <col min="83" max="85" width="1.140625" style="19" customWidth="1"/>
    <col min="86" max="98" width="1.42578125" style="19" customWidth="1"/>
    <col min="99" max="99" width="2.42578125" style="19" customWidth="1"/>
    <col min="100" max="100" width="1" style="19" customWidth="1"/>
    <col min="101" max="162" width="1.42578125" style="19" customWidth="1"/>
    <col min="163" max="16384" width="11.42578125" style="19"/>
  </cols>
  <sheetData>
    <row r="1" spans="4:99" ht="7.5" customHeight="1">
      <c r="E1" s="606" t="s">
        <v>143</v>
      </c>
      <c r="F1" s="606"/>
      <c r="G1" s="606"/>
      <c r="H1" s="606"/>
      <c r="I1" s="606"/>
      <c r="J1" s="606"/>
      <c r="K1" s="606"/>
      <c r="L1" s="606"/>
      <c r="M1" s="606"/>
      <c r="N1" s="606"/>
      <c r="O1" s="606"/>
      <c r="P1" s="606"/>
      <c r="Q1" s="606"/>
      <c r="R1" s="606"/>
      <c r="S1" s="606"/>
      <c r="T1" s="606"/>
      <c r="U1" s="606"/>
      <c r="V1" s="606"/>
      <c r="W1" s="606"/>
      <c r="X1" s="606"/>
      <c r="Y1" s="606"/>
      <c r="Z1" s="606"/>
      <c r="AA1" s="606"/>
      <c r="AB1" s="606"/>
      <c r="AC1" s="606"/>
      <c r="AD1" s="606"/>
      <c r="AF1" s="576" t="s">
        <v>141</v>
      </c>
      <c r="AG1" s="577"/>
      <c r="AH1" s="577"/>
      <c r="AI1" s="577"/>
      <c r="AJ1" s="577"/>
      <c r="AK1" s="577"/>
      <c r="AL1" s="577"/>
      <c r="AM1" s="577"/>
      <c r="AN1" s="577"/>
      <c r="AO1" s="577"/>
      <c r="AP1" s="577"/>
      <c r="AQ1" s="577"/>
      <c r="AR1" s="577"/>
      <c r="AS1" s="577"/>
      <c r="AT1" s="577"/>
      <c r="AU1" s="577"/>
      <c r="AV1" s="577"/>
      <c r="AW1" s="577"/>
      <c r="AX1" s="577"/>
      <c r="AY1" s="577"/>
      <c r="AZ1" s="577"/>
      <c r="BA1" s="577"/>
      <c r="BB1" s="577"/>
      <c r="BC1" s="577"/>
      <c r="BD1" s="577"/>
      <c r="BE1" s="577"/>
      <c r="BF1" s="577"/>
      <c r="BG1" s="577"/>
      <c r="BH1" s="577"/>
      <c r="BI1" s="577"/>
      <c r="BJ1" s="577"/>
      <c r="BK1" s="577"/>
      <c r="BL1" s="577"/>
      <c r="BM1" s="577"/>
      <c r="BN1" s="577"/>
      <c r="BO1" s="577"/>
      <c r="BP1" s="577"/>
      <c r="BQ1" s="578"/>
      <c r="BU1" s="565" t="s">
        <v>147</v>
      </c>
      <c r="BV1" s="565"/>
      <c r="BW1" s="565"/>
      <c r="BX1" s="565"/>
      <c r="BY1" s="565"/>
      <c r="BZ1" s="565"/>
      <c r="CA1" s="565"/>
      <c r="CB1" s="565"/>
      <c r="CC1" s="565"/>
      <c r="CD1" s="565"/>
      <c r="CE1" s="565"/>
      <c r="CF1" s="565"/>
      <c r="CG1" s="565"/>
      <c r="CH1" s="565"/>
      <c r="CI1" s="565"/>
      <c r="CJ1" s="565"/>
      <c r="CK1" s="565"/>
      <c r="CL1" s="565"/>
      <c r="CM1" s="565"/>
      <c r="CN1" s="565"/>
      <c r="CO1" s="565"/>
      <c r="CP1" s="565"/>
      <c r="CQ1" s="565"/>
      <c r="CR1" s="565"/>
      <c r="CS1" s="565"/>
      <c r="CT1" s="565"/>
    </row>
    <row r="2" spans="4:99" ht="7.5" customHeight="1">
      <c r="E2" s="606"/>
      <c r="F2" s="606"/>
      <c r="G2" s="606"/>
      <c r="H2" s="606"/>
      <c r="I2" s="606"/>
      <c r="J2" s="606"/>
      <c r="K2" s="606"/>
      <c r="L2" s="606"/>
      <c r="M2" s="606"/>
      <c r="N2" s="606"/>
      <c r="O2" s="606"/>
      <c r="P2" s="606"/>
      <c r="Q2" s="606"/>
      <c r="R2" s="606"/>
      <c r="S2" s="606"/>
      <c r="T2" s="606"/>
      <c r="U2" s="606"/>
      <c r="V2" s="606"/>
      <c r="W2" s="606"/>
      <c r="X2" s="606"/>
      <c r="Y2" s="606"/>
      <c r="Z2" s="606"/>
      <c r="AA2" s="606"/>
      <c r="AB2" s="606"/>
      <c r="AC2" s="606"/>
      <c r="AD2" s="606"/>
      <c r="AF2" s="579"/>
      <c r="AG2" s="580"/>
      <c r="AH2" s="580"/>
      <c r="AI2" s="580"/>
      <c r="AJ2" s="580"/>
      <c r="AK2" s="580"/>
      <c r="AL2" s="580"/>
      <c r="AM2" s="580"/>
      <c r="AN2" s="580"/>
      <c r="AO2" s="580"/>
      <c r="AP2" s="580"/>
      <c r="AQ2" s="580"/>
      <c r="AR2" s="580"/>
      <c r="AS2" s="580"/>
      <c r="AT2" s="580"/>
      <c r="AU2" s="580"/>
      <c r="AV2" s="580"/>
      <c r="AW2" s="580"/>
      <c r="AX2" s="580"/>
      <c r="AY2" s="580"/>
      <c r="AZ2" s="580"/>
      <c r="BA2" s="580"/>
      <c r="BB2" s="580"/>
      <c r="BC2" s="580"/>
      <c r="BD2" s="580"/>
      <c r="BE2" s="580"/>
      <c r="BF2" s="580"/>
      <c r="BG2" s="580"/>
      <c r="BH2" s="580"/>
      <c r="BI2" s="580"/>
      <c r="BJ2" s="580"/>
      <c r="BK2" s="580"/>
      <c r="BL2" s="580"/>
      <c r="BM2" s="580"/>
      <c r="BN2" s="580"/>
      <c r="BO2" s="580"/>
      <c r="BP2" s="580"/>
      <c r="BQ2" s="581"/>
      <c r="BU2" s="565"/>
      <c r="BV2" s="565"/>
      <c r="BW2" s="565"/>
      <c r="BX2" s="565"/>
      <c r="BY2" s="565"/>
      <c r="BZ2" s="565"/>
      <c r="CA2" s="565"/>
      <c r="CB2" s="565"/>
      <c r="CC2" s="565"/>
      <c r="CD2" s="565"/>
      <c r="CE2" s="565"/>
      <c r="CF2" s="565"/>
      <c r="CG2" s="565"/>
      <c r="CH2" s="565"/>
      <c r="CI2" s="565"/>
      <c r="CJ2" s="565"/>
      <c r="CK2" s="565"/>
      <c r="CL2" s="565"/>
      <c r="CM2" s="565"/>
      <c r="CN2" s="565"/>
      <c r="CO2" s="565"/>
      <c r="CP2" s="565"/>
      <c r="CQ2" s="565"/>
      <c r="CR2" s="565"/>
      <c r="CS2" s="565"/>
      <c r="CT2" s="565"/>
    </row>
    <row r="3" spans="4:99" ht="7.5" customHeight="1">
      <c r="E3" s="609" t="s">
        <v>144</v>
      </c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F3" s="570" t="s">
        <v>142</v>
      </c>
      <c r="AG3" s="571"/>
      <c r="AH3" s="571"/>
      <c r="AI3" s="571"/>
      <c r="AJ3" s="571"/>
      <c r="AK3" s="571"/>
      <c r="AL3" s="571"/>
      <c r="AM3" s="571"/>
      <c r="AN3" s="571"/>
      <c r="AO3" s="571"/>
      <c r="AP3" s="571"/>
      <c r="AQ3" s="571"/>
      <c r="AR3" s="571"/>
      <c r="AS3" s="571"/>
      <c r="AT3" s="571"/>
      <c r="AU3" s="571"/>
      <c r="AV3" s="571"/>
      <c r="AW3" s="571"/>
      <c r="AX3" s="571"/>
      <c r="AY3" s="571"/>
      <c r="AZ3" s="571"/>
      <c r="BA3" s="571"/>
      <c r="BB3" s="571"/>
      <c r="BC3" s="571"/>
      <c r="BD3" s="571"/>
      <c r="BE3" s="571"/>
      <c r="BF3" s="571"/>
      <c r="BG3" s="571"/>
      <c r="BH3" s="571"/>
      <c r="BI3" s="571"/>
      <c r="BJ3" s="571"/>
      <c r="BK3" s="571"/>
      <c r="BL3" s="571"/>
      <c r="BM3" s="571"/>
      <c r="BN3" s="571"/>
      <c r="BO3" s="571"/>
      <c r="BP3" s="571"/>
      <c r="BQ3" s="572"/>
      <c r="BU3" s="566" t="s">
        <v>148</v>
      </c>
      <c r="BV3" s="566"/>
      <c r="BW3" s="566"/>
      <c r="BX3" s="566"/>
      <c r="BY3" s="566"/>
      <c r="BZ3" s="566"/>
      <c r="CA3" s="566"/>
      <c r="CB3" s="566"/>
      <c r="CC3" s="566"/>
      <c r="CD3" s="566"/>
      <c r="CE3" s="566"/>
      <c r="CF3" s="566"/>
      <c r="CG3" s="566"/>
      <c r="CH3" s="566"/>
      <c r="CI3" s="566"/>
      <c r="CJ3" s="566"/>
      <c r="CK3" s="566"/>
      <c r="CL3" s="566"/>
      <c r="CM3" s="566"/>
      <c r="CN3" s="566"/>
      <c r="CO3" s="566"/>
      <c r="CP3" s="566"/>
      <c r="CQ3" s="566"/>
      <c r="CR3" s="566"/>
      <c r="CS3" s="566"/>
      <c r="CT3" s="566"/>
    </row>
    <row r="4" spans="4:99" ht="7.5" customHeight="1">
      <c r="E4" s="609"/>
      <c r="F4" s="609"/>
      <c r="G4" s="609"/>
      <c r="H4" s="609"/>
      <c r="I4" s="609"/>
      <c r="J4" s="609"/>
      <c r="K4" s="609"/>
      <c r="L4" s="609"/>
      <c r="M4" s="609"/>
      <c r="N4" s="609"/>
      <c r="O4" s="609"/>
      <c r="P4" s="609"/>
      <c r="Q4" s="609"/>
      <c r="R4" s="609"/>
      <c r="S4" s="609"/>
      <c r="T4" s="609"/>
      <c r="U4" s="609"/>
      <c r="V4" s="609"/>
      <c r="W4" s="609"/>
      <c r="X4" s="609"/>
      <c r="Y4" s="609"/>
      <c r="Z4" s="609"/>
      <c r="AA4" s="609"/>
      <c r="AB4" s="609"/>
      <c r="AC4" s="609"/>
      <c r="AD4" s="609"/>
      <c r="AF4" s="573"/>
      <c r="AG4" s="574"/>
      <c r="AH4" s="574"/>
      <c r="AI4" s="574"/>
      <c r="AJ4" s="574"/>
      <c r="AK4" s="574"/>
      <c r="AL4" s="574"/>
      <c r="AM4" s="574"/>
      <c r="AN4" s="574"/>
      <c r="AO4" s="574"/>
      <c r="AP4" s="574"/>
      <c r="AQ4" s="574"/>
      <c r="AR4" s="574"/>
      <c r="AS4" s="574"/>
      <c r="AT4" s="574"/>
      <c r="AU4" s="574"/>
      <c r="AV4" s="574"/>
      <c r="AW4" s="574"/>
      <c r="AX4" s="574"/>
      <c r="AY4" s="574"/>
      <c r="AZ4" s="574"/>
      <c r="BA4" s="574"/>
      <c r="BB4" s="574"/>
      <c r="BC4" s="574"/>
      <c r="BD4" s="574"/>
      <c r="BE4" s="574"/>
      <c r="BF4" s="574"/>
      <c r="BG4" s="574"/>
      <c r="BH4" s="574"/>
      <c r="BI4" s="574"/>
      <c r="BJ4" s="574"/>
      <c r="BK4" s="574"/>
      <c r="BL4" s="574"/>
      <c r="BM4" s="574"/>
      <c r="BN4" s="574"/>
      <c r="BO4" s="574"/>
      <c r="BP4" s="574"/>
      <c r="BQ4" s="575"/>
      <c r="BU4" s="566"/>
      <c r="BV4" s="566"/>
      <c r="BW4" s="566"/>
      <c r="BX4" s="566"/>
      <c r="BY4" s="566"/>
      <c r="BZ4" s="566"/>
      <c r="CA4" s="566"/>
      <c r="CB4" s="566"/>
      <c r="CC4" s="566"/>
      <c r="CD4" s="566"/>
      <c r="CE4" s="566"/>
      <c r="CF4" s="566"/>
      <c r="CG4" s="566"/>
      <c r="CH4" s="566"/>
      <c r="CI4" s="566"/>
      <c r="CJ4" s="566"/>
      <c r="CK4" s="566"/>
      <c r="CL4" s="566"/>
      <c r="CM4" s="566"/>
      <c r="CN4" s="566"/>
      <c r="CO4" s="566"/>
      <c r="CP4" s="566"/>
      <c r="CQ4" s="566"/>
      <c r="CR4" s="566"/>
      <c r="CS4" s="566"/>
      <c r="CT4" s="566"/>
    </row>
    <row r="5" spans="4:99" ht="12" customHeight="1">
      <c r="E5" s="607" t="s">
        <v>146</v>
      </c>
      <c r="F5" s="607"/>
      <c r="G5" s="607"/>
      <c r="H5" s="607"/>
      <c r="I5" s="607"/>
      <c r="J5" s="607"/>
      <c r="K5" s="607"/>
      <c r="L5" s="607"/>
      <c r="M5" s="607"/>
      <c r="N5" s="607"/>
      <c r="O5" s="607"/>
      <c r="P5" s="607"/>
      <c r="Q5" s="607"/>
      <c r="R5" s="607"/>
      <c r="S5" s="607"/>
      <c r="T5" s="607"/>
      <c r="U5" s="607"/>
      <c r="V5" s="607"/>
      <c r="W5" s="607"/>
      <c r="X5" s="607"/>
      <c r="Y5" s="607"/>
      <c r="Z5" s="607"/>
      <c r="AA5" s="607"/>
      <c r="AB5" s="607"/>
      <c r="AC5" s="607"/>
      <c r="AD5" s="607"/>
      <c r="AF5" s="568" t="s">
        <v>150</v>
      </c>
      <c r="AG5" s="568"/>
      <c r="AH5" s="568"/>
      <c r="AI5" s="568"/>
      <c r="AJ5" s="568"/>
      <c r="AK5" s="568"/>
      <c r="AL5" s="568"/>
      <c r="AM5" s="568"/>
      <c r="AN5" s="568"/>
      <c r="AO5" s="568"/>
      <c r="AP5" s="568"/>
      <c r="AQ5" s="568"/>
      <c r="AR5" s="568"/>
      <c r="AS5" s="568"/>
      <c r="AT5" s="568"/>
      <c r="AU5" s="568"/>
      <c r="AV5" s="568"/>
      <c r="AW5" s="568"/>
      <c r="AX5" s="568"/>
      <c r="AY5" s="568"/>
      <c r="AZ5" s="568"/>
      <c r="BA5" s="568"/>
      <c r="BB5" s="568"/>
      <c r="BC5" s="568"/>
      <c r="BD5" s="568"/>
      <c r="BE5" s="568"/>
      <c r="BF5" s="568"/>
      <c r="BG5" s="568"/>
      <c r="BH5" s="568"/>
      <c r="BI5" s="568"/>
      <c r="BJ5" s="568"/>
      <c r="BK5" s="568"/>
      <c r="BL5" s="568"/>
      <c r="BM5" s="568"/>
      <c r="BN5" s="568"/>
      <c r="BO5" s="568"/>
      <c r="BP5" s="568"/>
      <c r="BQ5" s="568"/>
      <c r="BU5" s="567" t="s">
        <v>149</v>
      </c>
      <c r="BV5" s="567"/>
      <c r="BW5" s="567"/>
      <c r="BX5" s="567"/>
      <c r="BY5" s="567"/>
      <c r="BZ5" s="567"/>
      <c r="CA5" s="567"/>
      <c r="CB5" s="567"/>
      <c r="CC5" s="567"/>
      <c r="CD5" s="567"/>
      <c r="CE5" s="567"/>
      <c r="CF5" s="567"/>
      <c r="CG5" s="567"/>
      <c r="CH5" s="567"/>
      <c r="CI5" s="567"/>
      <c r="CJ5" s="567"/>
      <c r="CK5" s="567"/>
      <c r="CL5" s="567"/>
      <c r="CM5" s="567"/>
      <c r="CN5" s="567"/>
      <c r="CO5" s="567"/>
      <c r="CP5" s="567"/>
      <c r="CQ5" s="567"/>
      <c r="CR5" s="567"/>
      <c r="CS5" s="567"/>
      <c r="CT5" s="567"/>
    </row>
    <row r="6" spans="4:99" ht="11.25" customHeight="1">
      <c r="E6" s="608" t="s">
        <v>145</v>
      </c>
      <c r="F6" s="608"/>
      <c r="G6" s="608"/>
      <c r="H6" s="608"/>
      <c r="I6" s="608"/>
      <c r="J6" s="608"/>
      <c r="K6" s="608"/>
      <c r="L6" s="608"/>
      <c r="M6" s="608"/>
      <c r="N6" s="608"/>
      <c r="O6" s="608"/>
      <c r="P6" s="608"/>
      <c r="Q6" s="608"/>
      <c r="R6" s="608"/>
      <c r="S6" s="608"/>
      <c r="T6" s="608"/>
      <c r="U6" s="608"/>
      <c r="V6" s="608"/>
      <c r="W6" s="608"/>
      <c r="X6" s="608"/>
      <c r="Y6" s="608"/>
      <c r="Z6" s="608"/>
      <c r="AA6" s="608"/>
      <c r="AB6" s="608"/>
      <c r="AC6" s="608"/>
      <c r="AD6" s="608"/>
      <c r="AF6" s="569"/>
      <c r="AG6" s="569"/>
      <c r="AH6" s="569"/>
      <c r="AI6" s="569"/>
      <c r="AJ6" s="569"/>
      <c r="AK6" s="569"/>
      <c r="AL6" s="569"/>
      <c r="AM6" s="569"/>
      <c r="AN6" s="569"/>
      <c r="AO6" s="569"/>
      <c r="AP6" s="569"/>
      <c r="AQ6" s="569"/>
      <c r="AR6" s="569"/>
      <c r="AS6" s="569"/>
      <c r="AT6" s="569"/>
      <c r="AU6" s="569"/>
      <c r="AV6" s="569"/>
      <c r="AW6" s="569"/>
      <c r="AX6" s="569"/>
      <c r="AY6" s="569"/>
      <c r="AZ6" s="569"/>
      <c r="BA6" s="569"/>
      <c r="BB6" s="569"/>
      <c r="BC6" s="569"/>
      <c r="BD6" s="569"/>
      <c r="BE6" s="569"/>
      <c r="BF6" s="569"/>
      <c r="BG6" s="569"/>
      <c r="BH6" s="569"/>
      <c r="BI6" s="569"/>
      <c r="BJ6" s="569"/>
      <c r="BK6" s="569"/>
      <c r="BL6" s="569"/>
      <c r="BM6" s="569"/>
      <c r="BN6" s="569"/>
      <c r="BO6" s="569"/>
      <c r="BP6" s="569"/>
      <c r="BQ6" s="569"/>
    </row>
    <row r="7" spans="4:99" s="33" customFormat="1" ht="11.25" customHeight="1">
      <c r="E7" s="559" t="s">
        <v>162</v>
      </c>
      <c r="F7" s="560"/>
      <c r="G7" s="560"/>
      <c r="H7" s="561"/>
      <c r="I7" s="559" t="s">
        <v>151</v>
      </c>
      <c r="J7" s="560"/>
      <c r="K7" s="560"/>
      <c r="L7" s="560"/>
      <c r="M7" s="560"/>
      <c r="N7" s="560"/>
      <c r="O7" s="560"/>
      <c r="P7" s="560"/>
      <c r="Q7" s="560"/>
      <c r="R7" s="560"/>
      <c r="S7" s="560"/>
      <c r="T7" s="560"/>
      <c r="U7" s="560"/>
      <c r="V7" s="560"/>
      <c r="W7" s="560"/>
      <c r="X7" s="560"/>
      <c r="Y7" s="560"/>
      <c r="Z7" s="560"/>
      <c r="AA7" s="560"/>
      <c r="AB7" s="560"/>
      <c r="AC7" s="560"/>
      <c r="AD7" s="560"/>
      <c r="AE7" s="560"/>
      <c r="AF7" s="560"/>
      <c r="AG7" s="560"/>
      <c r="AH7" s="560"/>
      <c r="AI7" s="560"/>
      <c r="AJ7" s="560"/>
      <c r="AK7" s="560"/>
      <c r="AL7" s="560"/>
      <c r="AM7" s="560"/>
      <c r="AN7" s="560"/>
      <c r="AO7" s="560"/>
      <c r="AP7" s="560"/>
      <c r="AQ7" s="560" t="s">
        <v>152</v>
      </c>
      <c r="AR7" s="560"/>
      <c r="AS7" s="560"/>
      <c r="AT7" s="560"/>
      <c r="AU7" s="560"/>
      <c r="AV7" s="560"/>
      <c r="AW7" s="560"/>
      <c r="AX7" s="560"/>
      <c r="AY7" s="560"/>
      <c r="AZ7" s="560"/>
      <c r="BA7" s="560"/>
      <c r="BB7" s="560"/>
      <c r="BC7" s="561"/>
      <c r="BD7" s="559" t="s">
        <v>154</v>
      </c>
      <c r="BE7" s="560"/>
      <c r="BF7" s="560"/>
      <c r="BG7" s="560"/>
      <c r="BH7" s="560"/>
      <c r="BI7" s="560"/>
      <c r="BJ7" s="560"/>
      <c r="BK7" s="560"/>
      <c r="BL7" s="560"/>
      <c r="BM7" s="560"/>
      <c r="BN7" s="560"/>
      <c r="BO7" s="560"/>
      <c r="BP7" s="561"/>
      <c r="BQ7" s="559" t="s">
        <v>156</v>
      </c>
      <c r="BR7" s="560"/>
      <c r="BS7" s="560"/>
      <c r="BT7" s="560"/>
      <c r="BU7" s="560"/>
      <c r="BV7" s="560"/>
      <c r="BW7" s="560"/>
      <c r="BX7" s="560"/>
      <c r="BY7" s="560"/>
      <c r="BZ7" s="560"/>
      <c r="CA7" s="560"/>
      <c r="CB7" s="560"/>
      <c r="CC7" s="560"/>
      <c r="CD7" s="561"/>
      <c r="CE7" s="562" t="s">
        <v>92</v>
      </c>
      <c r="CF7" s="563"/>
      <c r="CG7" s="564"/>
      <c r="CH7" s="559" t="s">
        <v>159</v>
      </c>
      <c r="CI7" s="560"/>
      <c r="CJ7" s="560"/>
      <c r="CK7" s="560"/>
      <c r="CL7" s="560"/>
      <c r="CM7" s="560"/>
      <c r="CN7" s="560"/>
      <c r="CO7" s="560"/>
      <c r="CP7" s="560"/>
      <c r="CQ7" s="560"/>
      <c r="CR7" s="560"/>
      <c r="CS7" s="560"/>
      <c r="CT7" s="560"/>
      <c r="CU7" s="37"/>
    </row>
    <row r="8" spans="4:99" s="33" customFormat="1" ht="11.25" customHeight="1">
      <c r="E8" s="123"/>
      <c r="F8" s="124"/>
      <c r="G8" s="124"/>
      <c r="H8" s="558"/>
      <c r="I8" s="123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124"/>
      <c r="BC8" s="558"/>
      <c r="BD8" s="123"/>
      <c r="BE8" s="124"/>
      <c r="BF8" s="124"/>
      <c r="BG8" s="124"/>
      <c r="BH8" s="124"/>
      <c r="BI8" s="124"/>
      <c r="BJ8" s="124"/>
      <c r="BK8" s="124"/>
      <c r="BL8" s="124"/>
      <c r="BM8" s="124"/>
      <c r="BN8" s="124"/>
      <c r="BO8" s="124"/>
      <c r="BP8" s="558"/>
      <c r="BQ8" s="123" t="s">
        <v>157</v>
      </c>
      <c r="BR8" s="124"/>
      <c r="BS8" s="124"/>
      <c r="BT8" s="124"/>
      <c r="BU8" s="124"/>
      <c r="BV8" s="124"/>
      <c r="BW8" s="124"/>
      <c r="BX8" s="124"/>
      <c r="BY8" s="124"/>
      <c r="BZ8" s="124"/>
      <c r="CA8" s="124"/>
      <c r="CB8" s="124"/>
      <c r="CC8" s="124"/>
      <c r="CD8" s="558"/>
      <c r="CE8" s="555"/>
      <c r="CF8" s="556"/>
      <c r="CG8" s="557"/>
      <c r="CH8" s="123"/>
      <c r="CI8" s="124"/>
      <c r="CJ8" s="124"/>
      <c r="CK8" s="124"/>
      <c r="CL8" s="124"/>
      <c r="CM8" s="124"/>
      <c r="CN8" s="124"/>
      <c r="CO8" s="124"/>
      <c r="CP8" s="124"/>
      <c r="CQ8" s="124"/>
      <c r="CR8" s="124"/>
      <c r="CS8" s="124"/>
      <c r="CT8" s="124"/>
      <c r="CU8" s="34"/>
    </row>
    <row r="9" spans="4:99" s="33" customFormat="1" ht="11.25" customHeight="1">
      <c r="E9" s="123" t="s">
        <v>45</v>
      </c>
      <c r="F9" s="124"/>
      <c r="G9" s="124"/>
      <c r="H9" s="558"/>
      <c r="I9" s="123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 t="s">
        <v>153</v>
      </c>
      <c r="AR9" s="124"/>
      <c r="AS9" s="124"/>
      <c r="AT9" s="124"/>
      <c r="AU9" s="124"/>
      <c r="AV9" s="124"/>
      <c r="AW9" s="124"/>
      <c r="AX9" s="124"/>
      <c r="AY9" s="124"/>
      <c r="AZ9" s="124"/>
      <c r="BA9" s="124"/>
      <c r="BB9" s="124"/>
      <c r="BC9" s="558"/>
      <c r="BD9" s="123" t="s">
        <v>155</v>
      </c>
      <c r="BE9" s="124"/>
      <c r="BF9" s="124"/>
      <c r="BG9" s="124"/>
      <c r="BH9" s="124"/>
      <c r="BI9" s="124"/>
      <c r="BJ9" s="124"/>
      <c r="BK9" s="124"/>
      <c r="BL9" s="124"/>
      <c r="BM9" s="124"/>
      <c r="BN9" s="124"/>
      <c r="BO9" s="124"/>
      <c r="BP9" s="558"/>
      <c r="BQ9" s="123" t="s">
        <v>158</v>
      </c>
      <c r="BR9" s="124"/>
      <c r="BS9" s="124"/>
      <c r="BT9" s="124"/>
      <c r="BU9" s="124"/>
      <c r="BV9" s="124"/>
      <c r="BW9" s="124"/>
      <c r="BX9" s="124"/>
      <c r="BY9" s="124"/>
      <c r="BZ9" s="124"/>
      <c r="CA9" s="124"/>
      <c r="CB9" s="124"/>
      <c r="CC9" s="124"/>
      <c r="CD9" s="558"/>
      <c r="CE9" s="555" t="s">
        <v>93</v>
      </c>
      <c r="CF9" s="556"/>
      <c r="CG9" s="557"/>
      <c r="CH9" s="555" t="s">
        <v>160</v>
      </c>
      <c r="CI9" s="556"/>
      <c r="CJ9" s="556"/>
      <c r="CK9" s="556"/>
      <c r="CL9" s="556"/>
      <c r="CM9" s="556"/>
      <c r="CN9" s="556"/>
      <c r="CO9" s="556"/>
      <c r="CP9" s="556"/>
      <c r="CQ9" s="556"/>
      <c r="CR9" s="556"/>
      <c r="CS9" s="556"/>
      <c r="CT9" s="557"/>
      <c r="CU9" s="38"/>
    </row>
    <row r="10" spans="4:99" ht="18.75" customHeight="1">
      <c r="D10" s="32"/>
      <c r="E10" s="610" t="s">
        <v>163</v>
      </c>
      <c r="F10" s="611"/>
      <c r="G10" s="611"/>
      <c r="H10" s="612"/>
      <c r="I10" s="630" t="s">
        <v>183</v>
      </c>
      <c r="J10" s="631"/>
      <c r="K10" s="631"/>
      <c r="L10" s="631"/>
      <c r="M10" s="631"/>
      <c r="N10" s="631"/>
      <c r="O10" s="631"/>
      <c r="P10" s="631"/>
      <c r="Q10" s="631"/>
      <c r="R10" s="631"/>
      <c r="S10" s="631"/>
      <c r="T10" s="631"/>
      <c r="U10" s="631"/>
      <c r="V10" s="631"/>
      <c r="W10" s="631"/>
      <c r="X10" s="631"/>
      <c r="Y10" s="631"/>
      <c r="Z10" s="631"/>
      <c r="AA10" s="631"/>
      <c r="AB10" s="631"/>
      <c r="AC10" s="631"/>
      <c r="AD10" s="631"/>
      <c r="AE10" s="631"/>
      <c r="AF10" s="631"/>
      <c r="AG10" s="631"/>
      <c r="AH10" s="631"/>
      <c r="AI10" s="631"/>
      <c r="AJ10" s="631"/>
      <c r="AK10" s="631"/>
      <c r="AL10" s="631"/>
      <c r="AM10" s="631"/>
      <c r="AN10" s="631"/>
      <c r="AO10" s="631"/>
      <c r="AP10" s="632"/>
      <c r="AQ10" s="551"/>
      <c r="AR10" s="552"/>
      <c r="AS10" s="552"/>
      <c r="AT10" s="552"/>
      <c r="AU10" s="552"/>
      <c r="AV10" s="552"/>
      <c r="AW10" s="552"/>
      <c r="AX10" s="552"/>
      <c r="AY10" s="552"/>
      <c r="AZ10" s="552"/>
      <c r="BA10" s="552"/>
      <c r="BB10" s="552"/>
      <c r="BC10" s="554"/>
      <c r="BD10" s="551"/>
      <c r="BE10" s="552"/>
      <c r="BF10" s="552"/>
      <c r="BG10" s="552"/>
      <c r="BH10" s="552"/>
      <c r="BI10" s="552"/>
      <c r="BJ10" s="552"/>
      <c r="BK10" s="552"/>
      <c r="BL10" s="552"/>
      <c r="BM10" s="552"/>
      <c r="BN10" s="552"/>
      <c r="BO10" s="552"/>
      <c r="BP10" s="553"/>
      <c r="BQ10" s="597"/>
      <c r="BR10" s="552"/>
      <c r="BS10" s="552"/>
      <c r="BT10" s="552"/>
      <c r="BU10" s="552"/>
      <c r="BV10" s="552"/>
      <c r="BW10" s="552"/>
      <c r="BX10" s="552"/>
      <c r="BY10" s="552"/>
      <c r="BZ10" s="552"/>
      <c r="CA10" s="552"/>
      <c r="CB10" s="552"/>
      <c r="CC10" s="552"/>
      <c r="CD10" s="554"/>
      <c r="CE10" s="594">
        <v>0.09</v>
      </c>
      <c r="CF10" s="595"/>
      <c r="CG10" s="596"/>
      <c r="CH10" s="591">
        <f>BQ10*0.09</f>
        <v>0</v>
      </c>
      <c r="CI10" s="592"/>
      <c r="CJ10" s="592"/>
      <c r="CK10" s="592"/>
      <c r="CL10" s="592"/>
      <c r="CM10" s="592"/>
      <c r="CN10" s="592"/>
      <c r="CO10" s="592"/>
      <c r="CP10" s="592"/>
      <c r="CQ10" s="592"/>
      <c r="CR10" s="592"/>
      <c r="CS10" s="592"/>
      <c r="CT10" s="593"/>
      <c r="CU10" s="23"/>
    </row>
    <row r="11" spans="4:99">
      <c r="E11" s="633" t="s">
        <v>164</v>
      </c>
      <c r="F11" s="634"/>
      <c r="G11" s="634"/>
      <c r="H11" s="636"/>
      <c r="I11" s="588" t="s">
        <v>184</v>
      </c>
      <c r="J11" s="589"/>
      <c r="K11" s="589"/>
      <c r="L11" s="589"/>
      <c r="M11" s="589"/>
      <c r="N11" s="589"/>
      <c r="O11" s="589"/>
      <c r="P11" s="589"/>
      <c r="Q11" s="589"/>
      <c r="R11" s="589"/>
      <c r="S11" s="589"/>
      <c r="T11" s="589"/>
      <c r="U11" s="589"/>
      <c r="V11" s="589"/>
      <c r="W11" s="589"/>
      <c r="X11" s="589"/>
      <c r="Y11" s="589"/>
      <c r="Z11" s="589"/>
      <c r="AA11" s="589"/>
      <c r="AB11" s="589"/>
      <c r="AC11" s="589"/>
      <c r="AD11" s="589"/>
      <c r="AE11" s="589"/>
      <c r="AF11" s="589"/>
      <c r="AG11" s="589"/>
      <c r="AH11" s="589"/>
      <c r="AI11" s="589"/>
      <c r="AJ11" s="589"/>
      <c r="AK11" s="589"/>
      <c r="AL11" s="589"/>
      <c r="AM11" s="589"/>
      <c r="AN11" s="589"/>
      <c r="AO11" s="589"/>
      <c r="AP11" s="590"/>
      <c r="AQ11" s="515"/>
      <c r="AR11" s="513"/>
      <c r="AS11" s="513"/>
      <c r="AT11" s="513"/>
      <c r="AU11" s="513"/>
      <c r="AV11" s="513"/>
      <c r="AW11" s="513"/>
      <c r="AX11" s="513"/>
      <c r="AY11" s="513"/>
      <c r="AZ11" s="513"/>
      <c r="BA11" s="513"/>
      <c r="BB11" s="513"/>
      <c r="BC11" s="514"/>
      <c r="BD11" s="515"/>
      <c r="BE11" s="513"/>
      <c r="BF11" s="513"/>
      <c r="BG11" s="513"/>
      <c r="BH11" s="513"/>
      <c r="BI11" s="513"/>
      <c r="BJ11" s="513"/>
      <c r="BK11" s="513"/>
      <c r="BL11" s="513"/>
      <c r="BM11" s="513"/>
      <c r="BN11" s="513"/>
      <c r="BO11" s="513"/>
      <c r="BP11" s="516"/>
      <c r="BQ11" s="512"/>
      <c r="BR11" s="513"/>
      <c r="BS11" s="513"/>
      <c r="BT11" s="513"/>
      <c r="BU11" s="513"/>
      <c r="BV11" s="513"/>
      <c r="BW11" s="513"/>
      <c r="BX11" s="513"/>
      <c r="BY11" s="513"/>
      <c r="BZ11" s="513"/>
      <c r="CA11" s="513"/>
      <c r="CB11" s="513"/>
      <c r="CC11" s="513"/>
      <c r="CD11" s="514"/>
      <c r="CE11" s="517" t="s">
        <v>161</v>
      </c>
      <c r="CF11" s="518"/>
      <c r="CG11" s="519"/>
      <c r="CH11" s="520">
        <f t="shared" ref="CH11:CH15" si="0">BQ11*0.09</f>
        <v>0</v>
      </c>
      <c r="CI11" s="521"/>
      <c r="CJ11" s="521"/>
      <c r="CK11" s="521"/>
      <c r="CL11" s="521"/>
      <c r="CM11" s="521"/>
      <c r="CN11" s="521"/>
      <c r="CO11" s="521"/>
      <c r="CP11" s="521"/>
      <c r="CQ11" s="521"/>
      <c r="CR11" s="521"/>
      <c r="CS11" s="521"/>
      <c r="CT11" s="522"/>
      <c r="CU11" s="25"/>
    </row>
    <row r="12" spans="4:99" ht="12.75" customHeight="1">
      <c r="E12" s="633" t="s">
        <v>165</v>
      </c>
      <c r="F12" s="634"/>
      <c r="G12" s="634"/>
      <c r="H12" s="636"/>
      <c r="I12" s="588" t="s">
        <v>185</v>
      </c>
      <c r="J12" s="589"/>
      <c r="K12" s="589"/>
      <c r="L12" s="589"/>
      <c r="M12" s="589"/>
      <c r="N12" s="589"/>
      <c r="O12" s="589"/>
      <c r="P12" s="589"/>
      <c r="Q12" s="589"/>
      <c r="R12" s="589"/>
      <c r="S12" s="589"/>
      <c r="T12" s="589"/>
      <c r="U12" s="589"/>
      <c r="V12" s="589"/>
      <c r="W12" s="589"/>
      <c r="X12" s="589"/>
      <c r="Y12" s="589"/>
      <c r="Z12" s="589"/>
      <c r="AA12" s="589"/>
      <c r="AB12" s="589"/>
      <c r="AC12" s="589"/>
      <c r="AD12" s="589"/>
      <c r="AE12" s="589"/>
      <c r="AF12" s="589"/>
      <c r="AG12" s="589"/>
      <c r="AH12" s="589"/>
      <c r="AI12" s="589"/>
      <c r="AJ12" s="589"/>
      <c r="AK12" s="589"/>
      <c r="AL12" s="589"/>
      <c r="AM12" s="589"/>
      <c r="AN12" s="589"/>
      <c r="AO12" s="589"/>
      <c r="AP12" s="590"/>
      <c r="AQ12" s="515"/>
      <c r="AR12" s="513"/>
      <c r="AS12" s="513"/>
      <c r="AT12" s="513"/>
      <c r="AU12" s="513"/>
      <c r="AV12" s="513"/>
      <c r="AW12" s="513"/>
      <c r="AX12" s="513"/>
      <c r="AY12" s="513"/>
      <c r="AZ12" s="513"/>
      <c r="BA12" s="513"/>
      <c r="BB12" s="513"/>
      <c r="BC12" s="514"/>
      <c r="BD12" s="515"/>
      <c r="BE12" s="513"/>
      <c r="BF12" s="513"/>
      <c r="BG12" s="513"/>
      <c r="BH12" s="513"/>
      <c r="BI12" s="513"/>
      <c r="BJ12" s="513"/>
      <c r="BK12" s="513"/>
      <c r="BL12" s="513"/>
      <c r="BM12" s="513"/>
      <c r="BN12" s="513"/>
      <c r="BO12" s="513"/>
      <c r="BP12" s="516"/>
      <c r="BQ12" s="512"/>
      <c r="BR12" s="513"/>
      <c r="BS12" s="513"/>
      <c r="BT12" s="513"/>
      <c r="BU12" s="513"/>
      <c r="BV12" s="513"/>
      <c r="BW12" s="513"/>
      <c r="BX12" s="513"/>
      <c r="BY12" s="513"/>
      <c r="BZ12" s="513"/>
      <c r="CA12" s="513"/>
      <c r="CB12" s="513"/>
      <c r="CC12" s="513"/>
      <c r="CD12" s="514"/>
      <c r="CE12" s="517" t="s">
        <v>161</v>
      </c>
      <c r="CF12" s="518"/>
      <c r="CG12" s="519"/>
      <c r="CH12" s="520">
        <f t="shared" si="0"/>
        <v>0</v>
      </c>
      <c r="CI12" s="521"/>
      <c r="CJ12" s="521"/>
      <c r="CK12" s="521"/>
      <c r="CL12" s="521"/>
      <c r="CM12" s="521"/>
      <c r="CN12" s="521"/>
      <c r="CO12" s="521"/>
      <c r="CP12" s="521"/>
      <c r="CQ12" s="521"/>
      <c r="CR12" s="521"/>
      <c r="CS12" s="521"/>
      <c r="CT12" s="522"/>
      <c r="CU12" s="25"/>
    </row>
    <row r="13" spans="4:99" ht="12.75" customHeight="1">
      <c r="E13" s="633" t="s">
        <v>166</v>
      </c>
      <c r="F13" s="634"/>
      <c r="G13" s="634"/>
      <c r="H13" s="636"/>
      <c r="I13" s="588" t="s">
        <v>130</v>
      </c>
      <c r="J13" s="589"/>
      <c r="K13" s="589"/>
      <c r="L13" s="589"/>
      <c r="M13" s="589"/>
      <c r="N13" s="589"/>
      <c r="O13" s="589"/>
      <c r="P13" s="589"/>
      <c r="Q13" s="589"/>
      <c r="R13" s="589"/>
      <c r="S13" s="589"/>
      <c r="T13" s="589"/>
      <c r="U13" s="589"/>
      <c r="V13" s="589"/>
      <c r="W13" s="589"/>
      <c r="X13" s="589"/>
      <c r="Y13" s="589"/>
      <c r="Z13" s="589"/>
      <c r="AA13" s="589"/>
      <c r="AB13" s="589"/>
      <c r="AC13" s="589"/>
      <c r="AD13" s="589"/>
      <c r="AE13" s="589"/>
      <c r="AF13" s="589"/>
      <c r="AG13" s="589"/>
      <c r="AH13" s="589"/>
      <c r="AI13" s="589"/>
      <c r="AJ13" s="589"/>
      <c r="AK13" s="589"/>
      <c r="AL13" s="589"/>
      <c r="AM13" s="589"/>
      <c r="AN13" s="589"/>
      <c r="AO13" s="589"/>
      <c r="AP13" s="590"/>
      <c r="AQ13" s="515"/>
      <c r="AR13" s="513"/>
      <c r="AS13" s="513"/>
      <c r="AT13" s="513"/>
      <c r="AU13" s="513"/>
      <c r="AV13" s="513"/>
      <c r="AW13" s="513"/>
      <c r="AX13" s="513"/>
      <c r="AY13" s="513"/>
      <c r="AZ13" s="513"/>
      <c r="BA13" s="513"/>
      <c r="BB13" s="513"/>
      <c r="BC13" s="514"/>
      <c r="BD13" s="515"/>
      <c r="BE13" s="513"/>
      <c r="BF13" s="513"/>
      <c r="BG13" s="513"/>
      <c r="BH13" s="513"/>
      <c r="BI13" s="513"/>
      <c r="BJ13" s="513"/>
      <c r="BK13" s="513"/>
      <c r="BL13" s="513"/>
      <c r="BM13" s="513"/>
      <c r="BN13" s="513"/>
      <c r="BO13" s="513"/>
      <c r="BP13" s="516"/>
      <c r="BQ13" s="512"/>
      <c r="BR13" s="513"/>
      <c r="BS13" s="513"/>
      <c r="BT13" s="513"/>
      <c r="BU13" s="513"/>
      <c r="BV13" s="513"/>
      <c r="BW13" s="513"/>
      <c r="BX13" s="513"/>
      <c r="BY13" s="513"/>
      <c r="BZ13" s="513"/>
      <c r="CA13" s="513"/>
      <c r="CB13" s="513"/>
      <c r="CC13" s="513"/>
      <c r="CD13" s="514"/>
      <c r="CE13" s="517" t="s">
        <v>161</v>
      </c>
      <c r="CF13" s="518"/>
      <c r="CG13" s="519"/>
      <c r="CH13" s="520">
        <f t="shared" si="0"/>
        <v>0</v>
      </c>
      <c r="CI13" s="521"/>
      <c r="CJ13" s="521"/>
      <c r="CK13" s="521"/>
      <c r="CL13" s="521"/>
      <c r="CM13" s="521"/>
      <c r="CN13" s="521"/>
      <c r="CO13" s="521"/>
      <c r="CP13" s="521"/>
      <c r="CQ13" s="521"/>
      <c r="CR13" s="521"/>
      <c r="CS13" s="521"/>
      <c r="CT13" s="522"/>
      <c r="CU13" s="25"/>
    </row>
    <row r="14" spans="4:99" ht="12.75" customHeight="1">
      <c r="E14" s="633" t="s">
        <v>167</v>
      </c>
      <c r="F14" s="634"/>
      <c r="G14" s="634"/>
      <c r="H14" s="636"/>
      <c r="I14" s="588" t="s">
        <v>131</v>
      </c>
      <c r="J14" s="589"/>
      <c r="K14" s="589"/>
      <c r="L14" s="589"/>
      <c r="M14" s="589"/>
      <c r="N14" s="589"/>
      <c r="O14" s="589"/>
      <c r="P14" s="589"/>
      <c r="Q14" s="589"/>
      <c r="R14" s="589"/>
      <c r="S14" s="589"/>
      <c r="T14" s="589"/>
      <c r="U14" s="589"/>
      <c r="V14" s="589"/>
      <c r="W14" s="589"/>
      <c r="X14" s="589"/>
      <c r="Y14" s="589"/>
      <c r="Z14" s="589"/>
      <c r="AA14" s="589"/>
      <c r="AB14" s="589"/>
      <c r="AC14" s="589"/>
      <c r="AD14" s="589"/>
      <c r="AE14" s="589"/>
      <c r="AF14" s="589"/>
      <c r="AG14" s="589"/>
      <c r="AH14" s="589"/>
      <c r="AI14" s="589"/>
      <c r="AJ14" s="589"/>
      <c r="AK14" s="589"/>
      <c r="AL14" s="589"/>
      <c r="AM14" s="589"/>
      <c r="AN14" s="589"/>
      <c r="AO14" s="589"/>
      <c r="AP14" s="590"/>
      <c r="AQ14" s="515"/>
      <c r="AR14" s="513"/>
      <c r="AS14" s="513"/>
      <c r="AT14" s="513"/>
      <c r="AU14" s="513"/>
      <c r="AV14" s="513"/>
      <c r="AW14" s="513"/>
      <c r="AX14" s="513"/>
      <c r="AY14" s="513"/>
      <c r="AZ14" s="513"/>
      <c r="BA14" s="513"/>
      <c r="BB14" s="513"/>
      <c r="BC14" s="514"/>
      <c r="BD14" s="515"/>
      <c r="BE14" s="513"/>
      <c r="BF14" s="513"/>
      <c r="BG14" s="513"/>
      <c r="BH14" s="513"/>
      <c r="BI14" s="513"/>
      <c r="BJ14" s="513"/>
      <c r="BK14" s="513"/>
      <c r="BL14" s="513"/>
      <c r="BM14" s="513"/>
      <c r="BN14" s="513"/>
      <c r="BO14" s="513"/>
      <c r="BP14" s="516"/>
      <c r="BQ14" s="512"/>
      <c r="BR14" s="513"/>
      <c r="BS14" s="513"/>
      <c r="BT14" s="513"/>
      <c r="BU14" s="513"/>
      <c r="BV14" s="513"/>
      <c r="BW14" s="513"/>
      <c r="BX14" s="513"/>
      <c r="BY14" s="513"/>
      <c r="BZ14" s="513"/>
      <c r="CA14" s="513"/>
      <c r="CB14" s="513"/>
      <c r="CC14" s="513"/>
      <c r="CD14" s="514"/>
      <c r="CE14" s="517" t="s">
        <v>161</v>
      </c>
      <c r="CF14" s="518"/>
      <c r="CG14" s="519"/>
      <c r="CH14" s="520">
        <f t="shared" si="0"/>
        <v>0</v>
      </c>
      <c r="CI14" s="521"/>
      <c r="CJ14" s="521"/>
      <c r="CK14" s="521"/>
      <c r="CL14" s="521"/>
      <c r="CM14" s="521"/>
      <c r="CN14" s="521"/>
      <c r="CO14" s="521"/>
      <c r="CP14" s="521"/>
      <c r="CQ14" s="521"/>
      <c r="CR14" s="521"/>
      <c r="CS14" s="521"/>
      <c r="CT14" s="522"/>
      <c r="CU14" s="25"/>
    </row>
    <row r="15" spans="4:99" s="35" customFormat="1" ht="14.25" customHeight="1">
      <c r="E15" s="637" t="s">
        <v>168</v>
      </c>
      <c r="F15" s="638"/>
      <c r="G15" s="638"/>
      <c r="H15" s="639"/>
      <c r="I15" s="654" t="s">
        <v>132</v>
      </c>
      <c r="J15" s="655"/>
      <c r="K15" s="655"/>
      <c r="L15" s="655"/>
      <c r="M15" s="655"/>
      <c r="N15" s="655"/>
      <c r="O15" s="655"/>
      <c r="P15" s="655"/>
      <c r="Q15" s="655"/>
      <c r="R15" s="655"/>
      <c r="S15" s="655"/>
      <c r="T15" s="655"/>
      <c r="U15" s="655"/>
      <c r="V15" s="655"/>
      <c r="W15" s="655"/>
      <c r="X15" s="655"/>
      <c r="Y15" s="655"/>
      <c r="Z15" s="655"/>
      <c r="AA15" s="655"/>
      <c r="AB15" s="655"/>
      <c r="AC15" s="655"/>
      <c r="AD15" s="655"/>
      <c r="AE15" s="655"/>
      <c r="AF15" s="655"/>
      <c r="AG15" s="655"/>
      <c r="AH15" s="655"/>
      <c r="AI15" s="655"/>
      <c r="AJ15" s="655"/>
      <c r="AK15" s="655"/>
      <c r="AL15" s="655"/>
      <c r="AM15" s="655"/>
      <c r="AN15" s="655"/>
      <c r="AO15" s="655"/>
      <c r="AP15" s="656"/>
      <c r="AQ15" s="534"/>
      <c r="AR15" s="535"/>
      <c r="AS15" s="535"/>
      <c r="AT15" s="535"/>
      <c r="AU15" s="535"/>
      <c r="AV15" s="535"/>
      <c r="AW15" s="535"/>
      <c r="AX15" s="535"/>
      <c r="AY15" s="535"/>
      <c r="AZ15" s="535"/>
      <c r="BA15" s="535"/>
      <c r="BB15" s="535"/>
      <c r="BC15" s="536"/>
      <c r="BD15" s="534"/>
      <c r="BE15" s="535"/>
      <c r="BF15" s="535"/>
      <c r="BG15" s="535"/>
      <c r="BH15" s="535"/>
      <c r="BI15" s="535"/>
      <c r="BJ15" s="535"/>
      <c r="BK15" s="535"/>
      <c r="BL15" s="535"/>
      <c r="BM15" s="535"/>
      <c r="BN15" s="535"/>
      <c r="BO15" s="535"/>
      <c r="BP15" s="537"/>
      <c r="BQ15" s="538"/>
      <c r="BR15" s="535"/>
      <c r="BS15" s="535"/>
      <c r="BT15" s="535"/>
      <c r="BU15" s="535"/>
      <c r="BV15" s="535"/>
      <c r="BW15" s="535"/>
      <c r="BX15" s="535"/>
      <c r="BY15" s="535"/>
      <c r="BZ15" s="535"/>
      <c r="CA15" s="535"/>
      <c r="CB15" s="535"/>
      <c r="CC15" s="535"/>
      <c r="CD15" s="536"/>
      <c r="CE15" s="539" t="s">
        <v>161</v>
      </c>
      <c r="CF15" s="540"/>
      <c r="CG15" s="541"/>
      <c r="CH15" s="531">
        <f t="shared" si="0"/>
        <v>0</v>
      </c>
      <c r="CI15" s="532"/>
      <c r="CJ15" s="532"/>
      <c r="CK15" s="532"/>
      <c r="CL15" s="532"/>
      <c r="CM15" s="532"/>
      <c r="CN15" s="532"/>
      <c r="CO15" s="532"/>
      <c r="CP15" s="532"/>
      <c r="CQ15" s="532"/>
      <c r="CR15" s="532"/>
      <c r="CS15" s="532"/>
      <c r="CT15" s="533"/>
      <c r="CU15" s="43"/>
    </row>
    <row r="16" spans="4:99" ht="18" customHeight="1">
      <c r="E16" s="497" t="s">
        <v>169</v>
      </c>
      <c r="F16" s="498"/>
      <c r="G16" s="498"/>
      <c r="H16" s="650"/>
      <c r="I16" s="657" t="s">
        <v>186</v>
      </c>
      <c r="J16" s="658"/>
      <c r="K16" s="658"/>
      <c r="L16" s="658"/>
      <c r="M16" s="658"/>
      <c r="N16" s="658"/>
      <c r="O16" s="658"/>
      <c r="P16" s="658"/>
      <c r="Q16" s="658"/>
      <c r="R16" s="658"/>
      <c r="S16" s="658"/>
      <c r="T16" s="658"/>
      <c r="U16" s="658"/>
      <c r="V16" s="658"/>
      <c r="W16" s="658"/>
      <c r="X16" s="658"/>
      <c r="Y16" s="658"/>
      <c r="Z16" s="658"/>
      <c r="AA16" s="658"/>
      <c r="AB16" s="658"/>
      <c r="AC16" s="658"/>
      <c r="AD16" s="658"/>
      <c r="AE16" s="658"/>
      <c r="AF16" s="658"/>
      <c r="AG16" s="658"/>
      <c r="AH16" s="658"/>
      <c r="AI16" s="658"/>
      <c r="AJ16" s="658"/>
      <c r="AK16" s="658"/>
      <c r="AL16" s="658"/>
      <c r="AM16" s="658"/>
      <c r="AN16" s="658"/>
      <c r="AO16" s="658"/>
      <c r="AP16" s="659"/>
      <c r="AQ16" s="542"/>
      <c r="AR16" s="543"/>
      <c r="AS16" s="543"/>
      <c r="AT16" s="543"/>
      <c r="AU16" s="543"/>
      <c r="AV16" s="543"/>
      <c r="AW16" s="543"/>
      <c r="AX16" s="543"/>
      <c r="AY16" s="543"/>
      <c r="AZ16" s="543"/>
      <c r="BA16" s="543"/>
      <c r="BB16" s="543"/>
      <c r="BC16" s="544"/>
      <c r="BD16" s="545"/>
      <c r="BE16" s="543"/>
      <c r="BF16" s="543"/>
      <c r="BG16" s="543"/>
      <c r="BH16" s="543"/>
      <c r="BI16" s="543"/>
      <c r="BJ16" s="543"/>
      <c r="BK16" s="543"/>
      <c r="BL16" s="543"/>
      <c r="BM16" s="543"/>
      <c r="BN16" s="543"/>
      <c r="BO16" s="543"/>
      <c r="BP16" s="546"/>
      <c r="BQ16" s="542"/>
      <c r="BR16" s="543"/>
      <c r="BS16" s="543"/>
      <c r="BT16" s="543"/>
      <c r="BU16" s="543"/>
      <c r="BV16" s="543"/>
      <c r="BW16" s="543"/>
      <c r="BX16" s="543"/>
      <c r="BY16" s="543"/>
      <c r="BZ16" s="543"/>
      <c r="CA16" s="543"/>
      <c r="CB16" s="543"/>
      <c r="CC16" s="543"/>
      <c r="CD16" s="544"/>
      <c r="CE16" s="547">
        <v>0.19</v>
      </c>
      <c r="CF16" s="548"/>
      <c r="CG16" s="549"/>
      <c r="CH16" s="550">
        <f>BQ16*0.19</f>
        <v>0</v>
      </c>
      <c r="CI16" s="501"/>
      <c r="CJ16" s="501"/>
      <c r="CK16" s="501"/>
      <c r="CL16" s="501"/>
      <c r="CM16" s="501"/>
      <c r="CN16" s="501"/>
      <c r="CO16" s="501"/>
      <c r="CP16" s="501"/>
      <c r="CQ16" s="501"/>
      <c r="CR16" s="501"/>
      <c r="CS16" s="501"/>
      <c r="CT16" s="502"/>
      <c r="CU16" s="25"/>
    </row>
    <row r="17" spans="5:99" ht="14.25" customHeight="1">
      <c r="E17" s="633" t="s">
        <v>170</v>
      </c>
      <c r="F17" s="634"/>
      <c r="G17" s="634"/>
      <c r="H17" s="636"/>
      <c r="I17" s="588" t="s">
        <v>187</v>
      </c>
      <c r="J17" s="589"/>
      <c r="K17" s="589"/>
      <c r="L17" s="589"/>
      <c r="M17" s="589"/>
      <c r="N17" s="589"/>
      <c r="O17" s="589"/>
      <c r="P17" s="589"/>
      <c r="Q17" s="589"/>
      <c r="R17" s="589"/>
      <c r="S17" s="589"/>
      <c r="T17" s="589"/>
      <c r="U17" s="589"/>
      <c r="V17" s="589"/>
      <c r="W17" s="589"/>
      <c r="X17" s="589"/>
      <c r="Y17" s="589"/>
      <c r="Z17" s="589"/>
      <c r="AA17" s="589"/>
      <c r="AB17" s="589"/>
      <c r="AC17" s="589"/>
      <c r="AD17" s="589"/>
      <c r="AE17" s="589"/>
      <c r="AF17" s="589"/>
      <c r="AG17" s="589"/>
      <c r="AH17" s="589"/>
      <c r="AI17" s="589"/>
      <c r="AJ17" s="589"/>
      <c r="AK17" s="589"/>
      <c r="AL17" s="589"/>
      <c r="AM17" s="589"/>
      <c r="AN17" s="589"/>
      <c r="AO17" s="589"/>
      <c r="AP17" s="590"/>
      <c r="AQ17" s="512"/>
      <c r="AR17" s="513"/>
      <c r="AS17" s="513"/>
      <c r="AT17" s="513"/>
      <c r="AU17" s="513"/>
      <c r="AV17" s="513"/>
      <c r="AW17" s="513"/>
      <c r="AX17" s="513"/>
      <c r="AY17" s="513"/>
      <c r="AZ17" s="513"/>
      <c r="BA17" s="513"/>
      <c r="BB17" s="513"/>
      <c r="BC17" s="514"/>
      <c r="BD17" s="515"/>
      <c r="BE17" s="513"/>
      <c r="BF17" s="513"/>
      <c r="BG17" s="513"/>
      <c r="BH17" s="513"/>
      <c r="BI17" s="513"/>
      <c r="BJ17" s="513"/>
      <c r="BK17" s="513"/>
      <c r="BL17" s="513"/>
      <c r="BM17" s="513"/>
      <c r="BN17" s="513"/>
      <c r="BO17" s="513"/>
      <c r="BP17" s="516"/>
      <c r="BQ17" s="512"/>
      <c r="BR17" s="513"/>
      <c r="BS17" s="513"/>
      <c r="BT17" s="513"/>
      <c r="BU17" s="513"/>
      <c r="BV17" s="513"/>
      <c r="BW17" s="513"/>
      <c r="BX17" s="513"/>
      <c r="BY17" s="513"/>
      <c r="BZ17" s="513"/>
      <c r="CA17" s="513"/>
      <c r="CB17" s="513"/>
      <c r="CC17" s="513"/>
      <c r="CD17" s="514"/>
      <c r="CE17" s="517" t="s">
        <v>161</v>
      </c>
      <c r="CF17" s="518"/>
      <c r="CG17" s="519"/>
      <c r="CH17" s="520">
        <f t="shared" ref="CH17:CH30" si="1">BQ17*0.19</f>
        <v>0</v>
      </c>
      <c r="CI17" s="521"/>
      <c r="CJ17" s="521"/>
      <c r="CK17" s="521"/>
      <c r="CL17" s="521"/>
      <c r="CM17" s="521"/>
      <c r="CN17" s="521"/>
      <c r="CO17" s="521"/>
      <c r="CP17" s="521"/>
      <c r="CQ17" s="521"/>
      <c r="CR17" s="521"/>
      <c r="CS17" s="521"/>
      <c r="CT17" s="522"/>
      <c r="CU17" s="25"/>
    </row>
    <row r="18" spans="5:99" ht="13.5" customHeight="1">
      <c r="E18" s="633" t="s">
        <v>171</v>
      </c>
      <c r="F18" s="634"/>
      <c r="G18" s="634"/>
      <c r="H18" s="636"/>
      <c r="I18" s="588" t="s">
        <v>188</v>
      </c>
      <c r="J18" s="589"/>
      <c r="K18" s="589"/>
      <c r="L18" s="589"/>
      <c r="M18" s="589"/>
      <c r="N18" s="589"/>
      <c r="O18" s="589"/>
      <c r="P18" s="589"/>
      <c r="Q18" s="589"/>
      <c r="R18" s="589"/>
      <c r="S18" s="589"/>
      <c r="T18" s="589"/>
      <c r="U18" s="589"/>
      <c r="V18" s="589"/>
      <c r="W18" s="589"/>
      <c r="X18" s="589"/>
      <c r="Y18" s="589"/>
      <c r="Z18" s="589"/>
      <c r="AA18" s="589"/>
      <c r="AB18" s="589"/>
      <c r="AC18" s="589"/>
      <c r="AD18" s="589"/>
      <c r="AE18" s="589"/>
      <c r="AF18" s="589"/>
      <c r="AG18" s="589"/>
      <c r="AH18" s="589"/>
      <c r="AI18" s="589"/>
      <c r="AJ18" s="589"/>
      <c r="AK18" s="589"/>
      <c r="AL18" s="589"/>
      <c r="AM18" s="589"/>
      <c r="AN18" s="589"/>
      <c r="AO18" s="589"/>
      <c r="AP18" s="590"/>
      <c r="AQ18" s="512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4"/>
      <c r="BD18" s="515"/>
      <c r="BE18" s="513"/>
      <c r="BF18" s="513"/>
      <c r="BG18" s="513"/>
      <c r="BH18" s="513"/>
      <c r="BI18" s="513"/>
      <c r="BJ18" s="513"/>
      <c r="BK18" s="513"/>
      <c r="BL18" s="513"/>
      <c r="BM18" s="513"/>
      <c r="BN18" s="513"/>
      <c r="BO18" s="513"/>
      <c r="BP18" s="516"/>
      <c r="BQ18" s="512"/>
      <c r="BR18" s="513"/>
      <c r="BS18" s="513"/>
      <c r="BT18" s="513"/>
      <c r="BU18" s="513"/>
      <c r="BV18" s="513"/>
      <c r="BW18" s="513"/>
      <c r="BX18" s="513"/>
      <c r="BY18" s="513"/>
      <c r="BZ18" s="513"/>
      <c r="CA18" s="513"/>
      <c r="CB18" s="513"/>
      <c r="CC18" s="513"/>
      <c r="CD18" s="514"/>
      <c r="CE18" s="517" t="s">
        <v>161</v>
      </c>
      <c r="CF18" s="518"/>
      <c r="CG18" s="519"/>
      <c r="CH18" s="520">
        <f t="shared" si="1"/>
        <v>0</v>
      </c>
      <c r="CI18" s="521"/>
      <c r="CJ18" s="521"/>
      <c r="CK18" s="521"/>
      <c r="CL18" s="521"/>
      <c r="CM18" s="521"/>
      <c r="CN18" s="521"/>
      <c r="CO18" s="521"/>
      <c r="CP18" s="521"/>
      <c r="CQ18" s="521"/>
      <c r="CR18" s="521"/>
      <c r="CS18" s="521"/>
      <c r="CT18" s="522"/>
      <c r="CU18" s="25"/>
    </row>
    <row r="19" spans="5:99" ht="12" customHeight="1">
      <c r="E19" s="633" t="s">
        <v>172</v>
      </c>
      <c r="F19" s="634"/>
      <c r="G19" s="634"/>
      <c r="H19" s="636"/>
      <c r="I19" s="588" t="s">
        <v>133</v>
      </c>
      <c r="J19" s="589"/>
      <c r="K19" s="589"/>
      <c r="L19" s="589"/>
      <c r="M19" s="589"/>
      <c r="N19" s="589"/>
      <c r="O19" s="589"/>
      <c r="P19" s="589"/>
      <c r="Q19" s="589"/>
      <c r="R19" s="589"/>
      <c r="S19" s="589"/>
      <c r="T19" s="589"/>
      <c r="U19" s="589"/>
      <c r="V19" s="589"/>
      <c r="W19" s="589"/>
      <c r="X19" s="589"/>
      <c r="Y19" s="589"/>
      <c r="Z19" s="589"/>
      <c r="AA19" s="589"/>
      <c r="AB19" s="589"/>
      <c r="AC19" s="589"/>
      <c r="AD19" s="589"/>
      <c r="AE19" s="589"/>
      <c r="AF19" s="589"/>
      <c r="AG19" s="589"/>
      <c r="AH19" s="589"/>
      <c r="AI19" s="589"/>
      <c r="AJ19" s="589"/>
      <c r="AK19" s="589"/>
      <c r="AL19" s="589"/>
      <c r="AM19" s="589"/>
      <c r="AN19" s="589"/>
      <c r="AO19" s="589"/>
      <c r="AP19" s="590"/>
      <c r="AQ19" s="512"/>
      <c r="AR19" s="513"/>
      <c r="AS19" s="513"/>
      <c r="AT19" s="513"/>
      <c r="AU19" s="513"/>
      <c r="AV19" s="513"/>
      <c r="AW19" s="513"/>
      <c r="AX19" s="513"/>
      <c r="AY19" s="513"/>
      <c r="AZ19" s="513"/>
      <c r="BA19" s="513"/>
      <c r="BB19" s="513"/>
      <c r="BC19" s="514"/>
      <c r="BD19" s="515"/>
      <c r="BE19" s="513"/>
      <c r="BF19" s="513"/>
      <c r="BG19" s="513"/>
      <c r="BH19" s="513"/>
      <c r="BI19" s="513"/>
      <c r="BJ19" s="513"/>
      <c r="BK19" s="513"/>
      <c r="BL19" s="513"/>
      <c r="BM19" s="513"/>
      <c r="BN19" s="513"/>
      <c r="BO19" s="513"/>
      <c r="BP19" s="516"/>
      <c r="BQ19" s="512"/>
      <c r="BR19" s="513"/>
      <c r="BS19" s="513"/>
      <c r="BT19" s="513"/>
      <c r="BU19" s="513"/>
      <c r="BV19" s="513"/>
      <c r="BW19" s="513"/>
      <c r="BX19" s="513"/>
      <c r="BY19" s="513"/>
      <c r="BZ19" s="513"/>
      <c r="CA19" s="513"/>
      <c r="CB19" s="513"/>
      <c r="CC19" s="513"/>
      <c r="CD19" s="514"/>
      <c r="CE19" s="517" t="s">
        <v>161</v>
      </c>
      <c r="CF19" s="518"/>
      <c r="CG19" s="519"/>
      <c r="CH19" s="520">
        <f t="shared" si="1"/>
        <v>0</v>
      </c>
      <c r="CI19" s="521"/>
      <c r="CJ19" s="521"/>
      <c r="CK19" s="521"/>
      <c r="CL19" s="521"/>
      <c r="CM19" s="521"/>
      <c r="CN19" s="521"/>
      <c r="CO19" s="521"/>
      <c r="CP19" s="521"/>
      <c r="CQ19" s="521"/>
      <c r="CR19" s="521"/>
      <c r="CS19" s="521"/>
      <c r="CT19" s="522"/>
      <c r="CU19" s="25"/>
    </row>
    <row r="20" spans="5:99" ht="13.5" customHeight="1">
      <c r="E20" s="633" t="s">
        <v>173</v>
      </c>
      <c r="F20" s="634"/>
      <c r="G20" s="634"/>
      <c r="H20" s="636"/>
      <c r="I20" s="588" t="s">
        <v>134</v>
      </c>
      <c r="J20" s="589"/>
      <c r="K20" s="589"/>
      <c r="L20" s="589"/>
      <c r="M20" s="589"/>
      <c r="N20" s="589"/>
      <c r="O20" s="589"/>
      <c r="P20" s="589"/>
      <c r="Q20" s="589"/>
      <c r="R20" s="589"/>
      <c r="S20" s="589"/>
      <c r="T20" s="589"/>
      <c r="U20" s="589"/>
      <c r="V20" s="589"/>
      <c r="W20" s="589"/>
      <c r="X20" s="589"/>
      <c r="Y20" s="589"/>
      <c r="Z20" s="589"/>
      <c r="AA20" s="589"/>
      <c r="AB20" s="589"/>
      <c r="AC20" s="589"/>
      <c r="AD20" s="589"/>
      <c r="AE20" s="589"/>
      <c r="AF20" s="589"/>
      <c r="AG20" s="589"/>
      <c r="AH20" s="589"/>
      <c r="AI20" s="589"/>
      <c r="AJ20" s="589"/>
      <c r="AK20" s="589"/>
      <c r="AL20" s="589"/>
      <c r="AM20" s="589"/>
      <c r="AN20" s="589"/>
      <c r="AO20" s="589"/>
      <c r="AP20" s="590"/>
      <c r="AQ20" s="512"/>
      <c r="AR20" s="513"/>
      <c r="AS20" s="513"/>
      <c r="AT20" s="513"/>
      <c r="AU20" s="513"/>
      <c r="AV20" s="513"/>
      <c r="AW20" s="513"/>
      <c r="AX20" s="513"/>
      <c r="AY20" s="513"/>
      <c r="AZ20" s="513"/>
      <c r="BA20" s="513"/>
      <c r="BB20" s="513"/>
      <c r="BC20" s="514"/>
      <c r="BD20" s="515"/>
      <c r="BE20" s="513"/>
      <c r="BF20" s="513"/>
      <c r="BG20" s="513"/>
      <c r="BH20" s="513"/>
      <c r="BI20" s="513"/>
      <c r="BJ20" s="513"/>
      <c r="BK20" s="513"/>
      <c r="BL20" s="513"/>
      <c r="BM20" s="513"/>
      <c r="BN20" s="513"/>
      <c r="BO20" s="513"/>
      <c r="BP20" s="516"/>
      <c r="BQ20" s="512"/>
      <c r="BR20" s="513"/>
      <c r="BS20" s="513"/>
      <c r="BT20" s="513"/>
      <c r="BU20" s="513"/>
      <c r="BV20" s="513"/>
      <c r="BW20" s="513"/>
      <c r="BX20" s="513"/>
      <c r="BY20" s="513"/>
      <c r="BZ20" s="513"/>
      <c r="CA20" s="513"/>
      <c r="CB20" s="513"/>
      <c r="CC20" s="513"/>
      <c r="CD20" s="514"/>
      <c r="CE20" s="517" t="s">
        <v>161</v>
      </c>
      <c r="CF20" s="518"/>
      <c r="CG20" s="519"/>
      <c r="CH20" s="520">
        <f t="shared" si="1"/>
        <v>0</v>
      </c>
      <c r="CI20" s="521"/>
      <c r="CJ20" s="521"/>
      <c r="CK20" s="521"/>
      <c r="CL20" s="521"/>
      <c r="CM20" s="521"/>
      <c r="CN20" s="521"/>
      <c r="CO20" s="521"/>
      <c r="CP20" s="521"/>
      <c r="CQ20" s="521"/>
      <c r="CR20" s="521"/>
      <c r="CS20" s="521"/>
      <c r="CT20" s="522"/>
      <c r="CU20" s="25"/>
    </row>
    <row r="21" spans="5:99" ht="12.75" customHeight="1">
      <c r="E21" s="633" t="s">
        <v>174</v>
      </c>
      <c r="F21" s="634"/>
      <c r="G21" s="634"/>
      <c r="H21" s="636"/>
      <c r="I21" s="588" t="s">
        <v>135</v>
      </c>
      <c r="J21" s="589"/>
      <c r="K21" s="589"/>
      <c r="L21" s="589"/>
      <c r="M21" s="589"/>
      <c r="N21" s="589"/>
      <c r="O21" s="589"/>
      <c r="P21" s="589"/>
      <c r="Q21" s="589"/>
      <c r="R21" s="589"/>
      <c r="S21" s="589"/>
      <c r="T21" s="589"/>
      <c r="U21" s="589"/>
      <c r="V21" s="589"/>
      <c r="W21" s="589"/>
      <c r="X21" s="589"/>
      <c r="Y21" s="589"/>
      <c r="Z21" s="589"/>
      <c r="AA21" s="589"/>
      <c r="AB21" s="589"/>
      <c r="AC21" s="589"/>
      <c r="AD21" s="589"/>
      <c r="AE21" s="589"/>
      <c r="AF21" s="589"/>
      <c r="AG21" s="589"/>
      <c r="AH21" s="589"/>
      <c r="AI21" s="589"/>
      <c r="AJ21" s="589"/>
      <c r="AK21" s="589"/>
      <c r="AL21" s="589"/>
      <c r="AM21" s="589"/>
      <c r="AN21" s="589"/>
      <c r="AO21" s="589"/>
      <c r="AP21" s="590"/>
      <c r="AQ21" s="512"/>
      <c r="AR21" s="513"/>
      <c r="AS21" s="513"/>
      <c r="AT21" s="513"/>
      <c r="AU21" s="513"/>
      <c r="AV21" s="513"/>
      <c r="AW21" s="513"/>
      <c r="AX21" s="513"/>
      <c r="AY21" s="513"/>
      <c r="AZ21" s="513"/>
      <c r="BA21" s="513"/>
      <c r="BB21" s="513"/>
      <c r="BC21" s="514"/>
      <c r="BD21" s="515"/>
      <c r="BE21" s="513"/>
      <c r="BF21" s="513"/>
      <c r="BG21" s="513"/>
      <c r="BH21" s="513"/>
      <c r="BI21" s="513"/>
      <c r="BJ21" s="513"/>
      <c r="BK21" s="513"/>
      <c r="BL21" s="513"/>
      <c r="BM21" s="513"/>
      <c r="BN21" s="513"/>
      <c r="BO21" s="513"/>
      <c r="BP21" s="516"/>
      <c r="BQ21" s="512"/>
      <c r="BR21" s="513"/>
      <c r="BS21" s="513"/>
      <c r="BT21" s="513"/>
      <c r="BU21" s="513"/>
      <c r="BV21" s="513"/>
      <c r="BW21" s="513"/>
      <c r="BX21" s="513"/>
      <c r="BY21" s="513"/>
      <c r="BZ21" s="513"/>
      <c r="CA21" s="513"/>
      <c r="CB21" s="513"/>
      <c r="CC21" s="513"/>
      <c r="CD21" s="514"/>
      <c r="CE21" s="517" t="s">
        <v>161</v>
      </c>
      <c r="CF21" s="518"/>
      <c r="CG21" s="519"/>
      <c r="CH21" s="520">
        <f t="shared" si="1"/>
        <v>0</v>
      </c>
      <c r="CI21" s="521"/>
      <c r="CJ21" s="521"/>
      <c r="CK21" s="521"/>
      <c r="CL21" s="521"/>
      <c r="CM21" s="521"/>
      <c r="CN21" s="521"/>
      <c r="CO21" s="521"/>
      <c r="CP21" s="521"/>
      <c r="CQ21" s="521"/>
      <c r="CR21" s="521"/>
      <c r="CS21" s="521"/>
      <c r="CT21" s="522"/>
      <c r="CU21" s="25"/>
    </row>
    <row r="22" spans="5:99" ht="12.75" customHeight="1">
      <c r="E22" s="633" t="s">
        <v>175</v>
      </c>
      <c r="F22" s="634"/>
      <c r="G22" s="634"/>
      <c r="H22" s="636"/>
      <c r="I22" s="588" t="s">
        <v>136</v>
      </c>
      <c r="J22" s="589"/>
      <c r="K22" s="589"/>
      <c r="L22" s="589"/>
      <c r="M22" s="589"/>
      <c r="N22" s="589"/>
      <c r="O22" s="589"/>
      <c r="P22" s="589"/>
      <c r="Q22" s="589"/>
      <c r="R22" s="589"/>
      <c r="S22" s="589"/>
      <c r="T22" s="589"/>
      <c r="U22" s="589"/>
      <c r="V22" s="589"/>
      <c r="W22" s="589"/>
      <c r="X22" s="589"/>
      <c r="Y22" s="589"/>
      <c r="Z22" s="589"/>
      <c r="AA22" s="589"/>
      <c r="AB22" s="589"/>
      <c r="AC22" s="589"/>
      <c r="AD22" s="589"/>
      <c r="AE22" s="589"/>
      <c r="AF22" s="589"/>
      <c r="AG22" s="589"/>
      <c r="AH22" s="589"/>
      <c r="AI22" s="589"/>
      <c r="AJ22" s="589"/>
      <c r="AK22" s="589"/>
      <c r="AL22" s="589"/>
      <c r="AM22" s="589"/>
      <c r="AN22" s="589"/>
      <c r="AO22" s="589"/>
      <c r="AP22" s="590"/>
      <c r="AQ22" s="512"/>
      <c r="AR22" s="513"/>
      <c r="AS22" s="513"/>
      <c r="AT22" s="513"/>
      <c r="AU22" s="513"/>
      <c r="AV22" s="513"/>
      <c r="AW22" s="513"/>
      <c r="AX22" s="513"/>
      <c r="AY22" s="513"/>
      <c r="AZ22" s="513"/>
      <c r="BA22" s="513"/>
      <c r="BB22" s="513"/>
      <c r="BC22" s="514"/>
      <c r="BD22" s="515"/>
      <c r="BE22" s="513"/>
      <c r="BF22" s="513"/>
      <c r="BG22" s="513"/>
      <c r="BH22" s="513"/>
      <c r="BI22" s="513"/>
      <c r="BJ22" s="513"/>
      <c r="BK22" s="513"/>
      <c r="BL22" s="513"/>
      <c r="BM22" s="513"/>
      <c r="BN22" s="513"/>
      <c r="BO22" s="513"/>
      <c r="BP22" s="516"/>
      <c r="BQ22" s="512"/>
      <c r="BR22" s="513"/>
      <c r="BS22" s="513"/>
      <c r="BT22" s="513"/>
      <c r="BU22" s="513"/>
      <c r="BV22" s="513"/>
      <c r="BW22" s="513"/>
      <c r="BX22" s="513"/>
      <c r="BY22" s="513"/>
      <c r="BZ22" s="513"/>
      <c r="CA22" s="513"/>
      <c r="CB22" s="513"/>
      <c r="CC22" s="513"/>
      <c r="CD22" s="514"/>
      <c r="CE22" s="517" t="s">
        <v>161</v>
      </c>
      <c r="CF22" s="518"/>
      <c r="CG22" s="519"/>
      <c r="CH22" s="520">
        <f t="shared" si="1"/>
        <v>0</v>
      </c>
      <c r="CI22" s="521"/>
      <c r="CJ22" s="521"/>
      <c r="CK22" s="521"/>
      <c r="CL22" s="521"/>
      <c r="CM22" s="521"/>
      <c r="CN22" s="521"/>
      <c r="CO22" s="521"/>
      <c r="CP22" s="521"/>
      <c r="CQ22" s="521"/>
      <c r="CR22" s="521"/>
      <c r="CS22" s="521"/>
      <c r="CT22" s="522"/>
      <c r="CU22" s="25"/>
    </row>
    <row r="23" spans="5:99" ht="13.5" customHeight="1">
      <c r="E23" s="633" t="s">
        <v>176</v>
      </c>
      <c r="F23" s="634"/>
      <c r="G23" s="634"/>
      <c r="H23" s="636"/>
      <c r="I23" s="588" t="s">
        <v>137</v>
      </c>
      <c r="J23" s="589"/>
      <c r="K23" s="589"/>
      <c r="L23" s="589"/>
      <c r="M23" s="589"/>
      <c r="N23" s="589"/>
      <c r="O23" s="589"/>
      <c r="P23" s="589"/>
      <c r="Q23" s="589"/>
      <c r="R23" s="589"/>
      <c r="S23" s="589"/>
      <c r="T23" s="589"/>
      <c r="U23" s="589"/>
      <c r="V23" s="589"/>
      <c r="W23" s="589"/>
      <c r="X23" s="589"/>
      <c r="Y23" s="589"/>
      <c r="Z23" s="589"/>
      <c r="AA23" s="589"/>
      <c r="AB23" s="589"/>
      <c r="AC23" s="589"/>
      <c r="AD23" s="589"/>
      <c r="AE23" s="589"/>
      <c r="AF23" s="589"/>
      <c r="AG23" s="589"/>
      <c r="AH23" s="589"/>
      <c r="AI23" s="589"/>
      <c r="AJ23" s="589"/>
      <c r="AK23" s="589"/>
      <c r="AL23" s="589"/>
      <c r="AM23" s="589"/>
      <c r="AN23" s="589"/>
      <c r="AO23" s="589"/>
      <c r="AP23" s="590"/>
      <c r="AQ23" s="512"/>
      <c r="AR23" s="513"/>
      <c r="AS23" s="513"/>
      <c r="AT23" s="513"/>
      <c r="AU23" s="513"/>
      <c r="AV23" s="513"/>
      <c r="AW23" s="513"/>
      <c r="AX23" s="513"/>
      <c r="AY23" s="513"/>
      <c r="AZ23" s="513"/>
      <c r="BA23" s="513"/>
      <c r="BB23" s="513"/>
      <c r="BC23" s="514"/>
      <c r="BD23" s="515"/>
      <c r="BE23" s="513"/>
      <c r="BF23" s="513"/>
      <c r="BG23" s="513"/>
      <c r="BH23" s="513"/>
      <c r="BI23" s="513"/>
      <c r="BJ23" s="513"/>
      <c r="BK23" s="513"/>
      <c r="BL23" s="513"/>
      <c r="BM23" s="513"/>
      <c r="BN23" s="513"/>
      <c r="BO23" s="513"/>
      <c r="BP23" s="516"/>
      <c r="BQ23" s="512"/>
      <c r="BR23" s="513"/>
      <c r="BS23" s="513"/>
      <c r="BT23" s="513"/>
      <c r="BU23" s="513"/>
      <c r="BV23" s="513"/>
      <c r="BW23" s="513"/>
      <c r="BX23" s="513"/>
      <c r="BY23" s="513"/>
      <c r="BZ23" s="513"/>
      <c r="CA23" s="513"/>
      <c r="CB23" s="513"/>
      <c r="CC23" s="513"/>
      <c r="CD23" s="514"/>
      <c r="CE23" s="517" t="s">
        <v>161</v>
      </c>
      <c r="CF23" s="518"/>
      <c r="CG23" s="519"/>
      <c r="CH23" s="520">
        <f t="shared" si="1"/>
        <v>0</v>
      </c>
      <c r="CI23" s="521"/>
      <c r="CJ23" s="521"/>
      <c r="CK23" s="521"/>
      <c r="CL23" s="521"/>
      <c r="CM23" s="521"/>
      <c r="CN23" s="521"/>
      <c r="CO23" s="521"/>
      <c r="CP23" s="521"/>
      <c r="CQ23" s="521"/>
      <c r="CR23" s="521"/>
      <c r="CS23" s="521"/>
      <c r="CT23" s="522"/>
      <c r="CU23" s="25"/>
    </row>
    <row r="24" spans="5:99" ht="13.5" customHeight="1">
      <c r="E24" s="633" t="s">
        <v>177</v>
      </c>
      <c r="F24" s="634"/>
      <c r="G24" s="634"/>
      <c r="H24" s="636"/>
      <c r="I24" s="588" t="s">
        <v>189</v>
      </c>
      <c r="J24" s="589"/>
      <c r="K24" s="589"/>
      <c r="L24" s="589"/>
      <c r="M24" s="589"/>
      <c r="N24" s="589"/>
      <c r="O24" s="589"/>
      <c r="P24" s="589"/>
      <c r="Q24" s="589"/>
      <c r="R24" s="589"/>
      <c r="S24" s="589"/>
      <c r="T24" s="589"/>
      <c r="U24" s="589"/>
      <c r="V24" s="589"/>
      <c r="W24" s="589"/>
      <c r="X24" s="589"/>
      <c r="Y24" s="589"/>
      <c r="Z24" s="589"/>
      <c r="AA24" s="589"/>
      <c r="AB24" s="589"/>
      <c r="AC24" s="589"/>
      <c r="AD24" s="589"/>
      <c r="AE24" s="589"/>
      <c r="AF24" s="589"/>
      <c r="AG24" s="589"/>
      <c r="AH24" s="589"/>
      <c r="AI24" s="589"/>
      <c r="AJ24" s="589"/>
      <c r="AK24" s="589"/>
      <c r="AL24" s="589"/>
      <c r="AM24" s="589"/>
      <c r="AN24" s="589"/>
      <c r="AO24" s="589"/>
      <c r="AP24" s="590"/>
      <c r="AQ24" s="512"/>
      <c r="AR24" s="513"/>
      <c r="AS24" s="513"/>
      <c r="AT24" s="513"/>
      <c r="AU24" s="513"/>
      <c r="AV24" s="513"/>
      <c r="AW24" s="513"/>
      <c r="AX24" s="513"/>
      <c r="AY24" s="513"/>
      <c r="AZ24" s="513"/>
      <c r="BA24" s="513"/>
      <c r="BB24" s="513"/>
      <c r="BC24" s="514"/>
      <c r="BD24" s="515"/>
      <c r="BE24" s="513"/>
      <c r="BF24" s="513"/>
      <c r="BG24" s="513"/>
      <c r="BH24" s="513"/>
      <c r="BI24" s="513"/>
      <c r="BJ24" s="513"/>
      <c r="BK24" s="513"/>
      <c r="BL24" s="513"/>
      <c r="BM24" s="513"/>
      <c r="BN24" s="513"/>
      <c r="BO24" s="513"/>
      <c r="BP24" s="516"/>
      <c r="BQ24" s="512"/>
      <c r="BR24" s="513"/>
      <c r="BS24" s="513"/>
      <c r="BT24" s="513"/>
      <c r="BU24" s="513"/>
      <c r="BV24" s="513"/>
      <c r="BW24" s="513"/>
      <c r="BX24" s="513"/>
      <c r="BY24" s="513"/>
      <c r="BZ24" s="513"/>
      <c r="CA24" s="513"/>
      <c r="CB24" s="513"/>
      <c r="CC24" s="513"/>
      <c r="CD24" s="514"/>
      <c r="CE24" s="517" t="s">
        <v>161</v>
      </c>
      <c r="CF24" s="518"/>
      <c r="CG24" s="519"/>
      <c r="CH24" s="520">
        <f t="shared" si="1"/>
        <v>0</v>
      </c>
      <c r="CI24" s="521"/>
      <c r="CJ24" s="521"/>
      <c r="CK24" s="521"/>
      <c r="CL24" s="521"/>
      <c r="CM24" s="521"/>
      <c r="CN24" s="521"/>
      <c r="CO24" s="521"/>
      <c r="CP24" s="521"/>
      <c r="CQ24" s="521"/>
      <c r="CR24" s="521"/>
      <c r="CS24" s="521"/>
      <c r="CT24" s="522"/>
      <c r="CU24" s="25"/>
    </row>
    <row r="25" spans="5:99" ht="12.75" customHeight="1">
      <c r="E25" s="633" t="s">
        <v>178</v>
      </c>
      <c r="F25" s="634"/>
      <c r="G25" s="634"/>
      <c r="H25" s="636"/>
      <c r="I25" s="588" t="s">
        <v>190</v>
      </c>
      <c r="J25" s="589"/>
      <c r="K25" s="589"/>
      <c r="L25" s="589"/>
      <c r="M25" s="589"/>
      <c r="N25" s="589"/>
      <c r="O25" s="589"/>
      <c r="P25" s="589"/>
      <c r="Q25" s="589"/>
      <c r="R25" s="589"/>
      <c r="S25" s="589"/>
      <c r="T25" s="589"/>
      <c r="U25" s="589"/>
      <c r="V25" s="589"/>
      <c r="W25" s="589"/>
      <c r="X25" s="589"/>
      <c r="Y25" s="589"/>
      <c r="Z25" s="589"/>
      <c r="AA25" s="589"/>
      <c r="AB25" s="589"/>
      <c r="AC25" s="589"/>
      <c r="AD25" s="589"/>
      <c r="AE25" s="589"/>
      <c r="AF25" s="589"/>
      <c r="AG25" s="589"/>
      <c r="AH25" s="589"/>
      <c r="AI25" s="589"/>
      <c r="AJ25" s="589"/>
      <c r="AK25" s="589"/>
      <c r="AL25" s="589"/>
      <c r="AM25" s="589"/>
      <c r="AN25" s="589"/>
      <c r="AO25" s="589"/>
      <c r="AP25" s="590"/>
      <c r="AQ25" s="512"/>
      <c r="AR25" s="513"/>
      <c r="AS25" s="513"/>
      <c r="AT25" s="513"/>
      <c r="AU25" s="513"/>
      <c r="AV25" s="513"/>
      <c r="AW25" s="513"/>
      <c r="AX25" s="513"/>
      <c r="AY25" s="513"/>
      <c r="AZ25" s="513"/>
      <c r="BA25" s="513"/>
      <c r="BB25" s="513"/>
      <c r="BC25" s="514"/>
      <c r="BD25" s="515"/>
      <c r="BE25" s="513"/>
      <c r="BF25" s="513"/>
      <c r="BG25" s="513"/>
      <c r="BH25" s="513"/>
      <c r="BI25" s="513"/>
      <c r="BJ25" s="513"/>
      <c r="BK25" s="513"/>
      <c r="BL25" s="513"/>
      <c r="BM25" s="513"/>
      <c r="BN25" s="513"/>
      <c r="BO25" s="513"/>
      <c r="BP25" s="516"/>
      <c r="BQ25" s="512"/>
      <c r="BR25" s="513"/>
      <c r="BS25" s="513"/>
      <c r="BT25" s="513"/>
      <c r="BU25" s="513"/>
      <c r="BV25" s="513"/>
      <c r="BW25" s="513"/>
      <c r="BX25" s="513"/>
      <c r="BY25" s="513"/>
      <c r="BZ25" s="513"/>
      <c r="CA25" s="513"/>
      <c r="CB25" s="513"/>
      <c r="CC25" s="513"/>
      <c r="CD25" s="514"/>
      <c r="CE25" s="517" t="s">
        <v>161</v>
      </c>
      <c r="CF25" s="518"/>
      <c r="CG25" s="519"/>
      <c r="CH25" s="520">
        <f t="shared" si="1"/>
        <v>0</v>
      </c>
      <c r="CI25" s="521"/>
      <c r="CJ25" s="521"/>
      <c r="CK25" s="521"/>
      <c r="CL25" s="521"/>
      <c r="CM25" s="521"/>
      <c r="CN25" s="521"/>
      <c r="CO25" s="521"/>
      <c r="CP25" s="521"/>
      <c r="CQ25" s="521"/>
      <c r="CR25" s="521"/>
      <c r="CS25" s="521"/>
      <c r="CT25" s="522"/>
      <c r="CU25" s="25"/>
    </row>
    <row r="26" spans="5:99" ht="13.5" customHeight="1">
      <c r="E26" s="633" t="s">
        <v>179</v>
      </c>
      <c r="F26" s="634"/>
      <c r="G26" s="634"/>
      <c r="H26" s="636"/>
      <c r="I26" s="588" t="s">
        <v>138</v>
      </c>
      <c r="J26" s="589"/>
      <c r="K26" s="589"/>
      <c r="L26" s="589"/>
      <c r="M26" s="589"/>
      <c r="N26" s="589"/>
      <c r="O26" s="589"/>
      <c r="P26" s="589"/>
      <c r="Q26" s="589"/>
      <c r="R26" s="589"/>
      <c r="S26" s="589"/>
      <c r="T26" s="589"/>
      <c r="U26" s="589"/>
      <c r="V26" s="589"/>
      <c r="W26" s="589"/>
      <c r="X26" s="589"/>
      <c r="Y26" s="589"/>
      <c r="Z26" s="589"/>
      <c r="AA26" s="589"/>
      <c r="AB26" s="589"/>
      <c r="AC26" s="589"/>
      <c r="AD26" s="589"/>
      <c r="AE26" s="589"/>
      <c r="AF26" s="589"/>
      <c r="AG26" s="589"/>
      <c r="AH26" s="589"/>
      <c r="AI26" s="589"/>
      <c r="AJ26" s="589"/>
      <c r="AK26" s="589"/>
      <c r="AL26" s="589"/>
      <c r="AM26" s="589"/>
      <c r="AN26" s="589"/>
      <c r="AO26" s="589"/>
      <c r="AP26" s="590"/>
      <c r="AQ26" s="512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13"/>
      <c r="BC26" s="514"/>
      <c r="BD26" s="515"/>
      <c r="BE26" s="513"/>
      <c r="BF26" s="513"/>
      <c r="BG26" s="513"/>
      <c r="BH26" s="513"/>
      <c r="BI26" s="513"/>
      <c r="BJ26" s="513"/>
      <c r="BK26" s="513"/>
      <c r="BL26" s="513"/>
      <c r="BM26" s="513"/>
      <c r="BN26" s="513"/>
      <c r="BO26" s="513"/>
      <c r="BP26" s="516"/>
      <c r="BQ26" s="512"/>
      <c r="BR26" s="513"/>
      <c r="BS26" s="513"/>
      <c r="BT26" s="513"/>
      <c r="BU26" s="513"/>
      <c r="BV26" s="513"/>
      <c r="BW26" s="513"/>
      <c r="BX26" s="513"/>
      <c r="BY26" s="513"/>
      <c r="BZ26" s="513"/>
      <c r="CA26" s="513"/>
      <c r="CB26" s="513"/>
      <c r="CC26" s="513"/>
      <c r="CD26" s="514"/>
      <c r="CE26" s="517" t="s">
        <v>161</v>
      </c>
      <c r="CF26" s="518"/>
      <c r="CG26" s="519"/>
      <c r="CH26" s="520">
        <f t="shared" si="1"/>
        <v>0</v>
      </c>
      <c r="CI26" s="521"/>
      <c r="CJ26" s="521"/>
      <c r="CK26" s="521"/>
      <c r="CL26" s="521"/>
      <c r="CM26" s="521"/>
      <c r="CN26" s="521"/>
      <c r="CO26" s="521"/>
      <c r="CP26" s="521"/>
      <c r="CQ26" s="521"/>
      <c r="CR26" s="521"/>
      <c r="CS26" s="521"/>
      <c r="CT26" s="522"/>
      <c r="CU26" s="25"/>
    </row>
    <row r="27" spans="5:99" ht="12.75" customHeight="1">
      <c r="E27" s="633" t="s">
        <v>180</v>
      </c>
      <c r="F27" s="634"/>
      <c r="G27" s="634"/>
      <c r="H27" s="636"/>
      <c r="I27" s="588" t="s">
        <v>191</v>
      </c>
      <c r="J27" s="589"/>
      <c r="K27" s="589"/>
      <c r="L27" s="589"/>
      <c r="M27" s="589"/>
      <c r="N27" s="589"/>
      <c r="O27" s="589"/>
      <c r="P27" s="589"/>
      <c r="Q27" s="589"/>
      <c r="R27" s="589"/>
      <c r="S27" s="589"/>
      <c r="T27" s="589"/>
      <c r="U27" s="589"/>
      <c r="V27" s="589"/>
      <c r="W27" s="589"/>
      <c r="X27" s="589"/>
      <c r="Y27" s="589"/>
      <c r="Z27" s="589"/>
      <c r="AA27" s="589"/>
      <c r="AB27" s="589"/>
      <c r="AC27" s="589"/>
      <c r="AD27" s="589"/>
      <c r="AE27" s="589"/>
      <c r="AF27" s="589"/>
      <c r="AG27" s="589"/>
      <c r="AH27" s="589"/>
      <c r="AI27" s="589"/>
      <c r="AJ27" s="589"/>
      <c r="AK27" s="589"/>
      <c r="AL27" s="589"/>
      <c r="AM27" s="589"/>
      <c r="AN27" s="589"/>
      <c r="AO27" s="589"/>
      <c r="AP27" s="590"/>
      <c r="AQ27" s="512"/>
      <c r="AR27" s="513"/>
      <c r="AS27" s="513"/>
      <c r="AT27" s="513"/>
      <c r="AU27" s="513"/>
      <c r="AV27" s="513"/>
      <c r="AW27" s="513"/>
      <c r="AX27" s="513"/>
      <c r="AY27" s="513"/>
      <c r="AZ27" s="513"/>
      <c r="BA27" s="513"/>
      <c r="BB27" s="513"/>
      <c r="BC27" s="514"/>
      <c r="BD27" s="515"/>
      <c r="BE27" s="513"/>
      <c r="BF27" s="513"/>
      <c r="BG27" s="513"/>
      <c r="BH27" s="513"/>
      <c r="BI27" s="513"/>
      <c r="BJ27" s="513"/>
      <c r="BK27" s="513"/>
      <c r="BL27" s="513"/>
      <c r="BM27" s="513"/>
      <c r="BN27" s="513"/>
      <c r="BO27" s="513"/>
      <c r="BP27" s="516"/>
      <c r="BQ27" s="512"/>
      <c r="BR27" s="513"/>
      <c r="BS27" s="513"/>
      <c r="BT27" s="513"/>
      <c r="BU27" s="513"/>
      <c r="BV27" s="513"/>
      <c r="BW27" s="513"/>
      <c r="BX27" s="513"/>
      <c r="BY27" s="513"/>
      <c r="BZ27" s="513"/>
      <c r="CA27" s="513"/>
      <c r="CB27" s="513"/>
      <c r="CC27" s="513"/>
      <c r="CD27" s="514"/>
      <c r="CE27" s="517" t="s">
        <v>161</v>
      </c>
      <c r="CF27" s="518"/>
      <c r="CG27" s="519"/>
      <c r="CH27" s="520">
        <f t="shared" si="1"/>
        <v>0</v>
      </c>
      <c r="CI27" s="521"/>
      <c r="CJ27" s="521"/>
      <c r="CK27" s="521"/>
      <c r="CL27" s="521"/>
      <c r="CM27" s="521"/>
      <c r="CN27" s="521"/>
      <c r="CO27" s="521"/>
      <c r="CP27" s="521"/>
      <c r="CQ27" s="521"/>
      <c r="CR27" s="521"/>
      <c r="CS27" s="521"/>
      <c r="CT27" s="522"/>
      <c r="CU27" s="25"/>
    </row>
    <row r="28" spans="5:99" ht="13.5" customHeight="1">
      <c r="E28" s="633" t="s">
        <v>181</v>
      </c>
      <c r="F28" s="634"/>
      <c r="G28" s="634"/>
      <c r="H28" s="636"/>
      <c r="I28" s="588" t="s">
        <v>192</v>
      </c>
      <c r="J28" s="589"/>
      <c r="K28" s="589"/>
      <c r="L28" s="589"/>
      <c r="M28" s="589"/>
      <c r="N28" s="589"/>
      <c r="O28" s="589"/>
      <c r="P28" s="589"/>
      <c r="Q28" s="589"/>
      <c r="R28" s="589"/>
      <c r="S28" s="589"/>
      <c r="T28" s="589"/>
      <c r="U28" s="589"/>
      <c r="V28" s="589"/>
      <c r="W28" s="589"/>
      <c r="X28" s="589"/>
      <c r="Y28" s="589"/>
      <c r="Z28" s="589"/>
      <c r="AA28" s="589"/>
      <c r="AB28" s="589"/>
      <c r="AC28" s="589"/>
      <c r="AD28" s="589"/>
      <c r="AE28" s="589"/>
      <c r="AF28" s="589"/>
      <c r="AG28" s="589"/>
      <c r="AH28" s="589"/>
      <c r="AI28" s="589"/>
      <c r="AJ28" s="589"/>
      <c r="AK28" s="589"/>
      <c r="AL28" s="589"/>
      <c r="AM28" s="589"/>
      <c r="AN28" s="589"/>
      <c r="AO28" s="589"/>
      <c r="AP28" s="590"/>
      <c r="AQ28" s="512"/>
      <c r="AR28" s="513"/>
      <c r="AS28" s="513"/>
      <c r="AT28" s="513"/>
      <c r="AU28" s="513"/>
      <c r="AV28" s="513"/>
      <c r="AW28" s="513"/>
      <c r="AX28" s="513"/>
      <c r="AY28" s="513"/>
      <c r="AZ28" s="513"/>
      <c r="BA28" s="513"/>
      <c r="BB28" s="513"/>
      <c r="BC28" s="514"/>
      <c r="BD28" s="515"/>
      <c r="BE28" s="513"/>
      <c r="BF28" s="513"/>
      <c r="BG28" s="513"/>
      <c r="BH28" s="513"/>
      <c r="BI28" s="513"/>
      <c r="BJ28" s="513"/>
      <c r="BK28" s="513"/>
      <c r="BL28" s="513"/>
      <c r="BM28" s="513"/>
      <c r="BN28" s="513"/>
      <c r="BO28" s="513"/>
      <c r="BP28" s="516"/>
      <c r="BQ28" s="512"/>
      <c r="BR28" s="513"/>
      <c r="BS28" s="513"/>
      <c r="BT28" s="513"/>
      <c r="BU28" s="513"/>
      <c r="BV28" s="513"/>
      <c r="BW28" s="513"/>
      <c r="BX28" s="513"/>
      <c r="BY28" s="513"/>
      <c r="BZ28" s="513"/>
      <c r="CA28" s="513"/>
      <c r="CB28" s="513"/>
      <c r="CC28" s="513"/>
      <c r="CD28" s="514"/>
      <c r="CE28" s="517" t="s">
        <v>161</v>
      </c>
      <c r="CF28" s="518"/>
      <c r="CG28" s="519"/>
      <c r="CH28" s="520">
        <f t="shared" si="1"/>
        <v>0</v>
      </c>
      <c r="CI28" s="521"/>
      <c r="CJ28" s="521"/>
      <c r="CK28" s="521"/>
      <c r="CL28" s="521"/>
      <c r="CM28" s="521"/>
      <c r="CN28" s="521"/>
      <c r="CO28" s="521"/>
      <c r="CP28" s="521"/>
      <c r="CQ28" s="521"/>
      <c r="CR28" s="521"/>
      <c r="CS28" s="521"/>
      <c r="CT28" s="522"/>
      <c r="CU28" s="25"/>
    </row>
    <row r="29" spans="5:99" ht="12" customHeight="1">
      <c r="E29" s="633" t="s">
        <v>182</v>
      </c>
      <c r="F29" s="634"/>
      <c r="G29" s="634"/>
      <c r="H29" s="636"/>
      <c r="I29" s="588" t="s">
        <v>139</v>
      </c>
      <c r="J29" s="589"/>
      <c r="K29" s="589"/>
      <c r="L29" s="589"/>
      <c r="M29" s="589"/>
      <c r="N29" s="589"/>
      <c r="O29" s="589"/>
      <c r="P29" s="589"/>
      <c r="Q29" s="589"/>
      <c r="R29" s="589"/>
      <c r="S29" s="589"/>
      <c r="T29" s="589"/>
      <c r="U29" s="589"/>
      <c r="V29" s="589"/>
      <c r="W29" s="589"/>
      <c r="X29" s="589"/>
      <c r="Y29" s="589"/>
      <c r="Z29" s="589"/>
      <c r="AA29" s="589"/>
      <c r="AB29" s="589"/>
      <c r="AC29" s="589"/>
      <c r="AD29" s="589"/>
      <c r="AE29" s="589"/>
      <c r="AF29" s="589"/>
      <c r="AG29" s="589"/>
      <c r="AH29" s="589"/>
      <c r="AI29" s="589"/>
      <c r="AJ29" s="589"/>
      <c r="AK29" s="589"/>
      <c r="AL29" s="589"/>
      <c r="AM29" s="589"/>
      <c r="AN29" s="589"/>
      <c r="AO29" s="589"/>
      <c r="AP29" s="590"/>
      <c r="AQ29" s="512"/>
      <c r="AR29" s="513"/>
      <c r="AS29" s="513"/>
      <c r="AT29" s="513"/>
      <c r="AU29" s="513"/>
      <c r="AV29" s="513"/>
      <c r="AW29" s="513"/>
      <c r="AX29" s="513"/>
      <c r="AY29" s="513"/>
      <c r="AZ29" s="513"/>
      <c r="BA29" s="513"/>
      <c r="BB29" s="513"/>
      <c r="BC29" s="514"/>
      <c r="BD29" s="515"/>
      <c r="BE29" s="513"/>
      <c r="BF29" s="513"/>
      <c r="BG29" s="513"/>
      <c r="BH29" s="513"/>
      <c r="BI29" s="513"/>
      <c r="BJ29" s="513"/>
      <c r="BK29" s="513"/>
      <c r="BL29" s="513"/>
      <c r="BM29" s="513"/>
      <c r="BN29" s="513"/>
      <c r="BO29" s="513"/>
      <c r="BP29" s="516"/>
      <c r="BQ29" s="512"/>
      <c r="BR29" s="513"/>
      <c r="BS29" s="513"/>
      <c r="BT29" s="513"/>
      <c r="BU29" s="513"/>
      <c r="BV29" s="513"/>
      <c r="BW29" s="513"/>
      <c r="BX29" s="513"/>
      <c r="BY29" s="513"/>
      <c r="BZ29" s="513"/>
      <c r="CA29" s="513"/>
      <c r="CB29" s="513"/>
      <c r="CC29" s="513"/>
      <c r="CD29" s="514"/>
      <c r="CE29" s="517" t="s">
        <v>161</v>
      </c>
      <c r="CF29" s="518"/>
      <c r="CG29" s="519"/>
      <c r="CH29" s="520">
        <f t="shared" si="1"/>
        <v>0</v>
      </c>
      <c r="CI29" s="521"/>
      <c r="CJ29" s="521"/>
      <c r="CK29" s="521"/>
      <c r="CL29" s="521"/>
      <c r="CM29" s="521"/>
      <c r="CN29" s="521"/>
      <c r="CO29" s="521"/>
      <c r="CP29" s="521"/>
      <c r="CQ29" s="521"/>
      <c r="CR29" s="521"/>
      <c r="CS29" s="521"/>
      <c r="CT29" s="522"/>
      <c r="CU29" s="25"/>
    </row>
    <row r="30" spans="5:99" ht="11.25" customHeight="1">
      <c r="E30" s="637"/>
      <c r="F30" s="638"/>
      <c r="G30" s="638"/>
      <c r="H30" s="639"/>
      <c r="I30" s="651" t="s">
        <v>140</v>
      </c>
      <c r="J30" s="652"/>
      <c r="K30" s="652"/>
      <c r="L30" s="652"/>
      <c r="M30" s="652"/>
      <c r="N30" s="652"/>
      <c r="O30" s="652"/>
      <c r="P30" s="652"/>
      <c r="Q30" s="652"/>
      <c r="R30" s="652"/>
      <c r="S30" s="652"/>
      <c r="T30" s="652"/>
      <c r="U30" s="652"/>
      <c r="V30" s="652"/>
      <c r="W30" s="652"/>
      <c r="X30" s="652"/>
      <c r="Y30" s="652"/>
      <c r="Z30" s="652"/>
      <c r="AA30" s="652"/>
      <c r="AB30" s="652"/>
      <c r="AC30" s="652"/>
      <c r="AD30" s="652"/>
      <c r="AE30" s="652"/>
      <c r="AF30" s="652"/>
      <c r="AG30" s="652"/>
      <c r="AH30" s="652"/>
      <c r="AI30" s="652"/>
      <c r="AJ30" s="652"/>
      <c r="AK30" s="652"/>
      <c r="AL30" s="652"/>
      <c r="AM30" s="652"/>
      <c r="AN30" s="652"/>
      <c r="AO30" s="652"/>
      <c r="AP30" s="653"/>
      <c r="AQ30" s="523"/>
      <c r="AR30" s="524"/>
      <c r="AS30" s="524"/>
      <c r="AT30" s="524"/>
      <c r="AU30" s="524"/>
      <c r="AV30" s="524"/>
      <c r="AW30" s="524"/>
      <c r="AX30" s="524"/>
      <c r="AY30" s="524"/>
      <c r="AZ30" s="524"/>
      <c r="BA30" s="524"/>
      <c r="BB30" s="524"/>
      <c r="BC30" s="525"/>
      <c r="BD30" s="526"/>
      <c r="BE30" s="524"/>
      <c r="BF30" s="524"/>
      <c r="BG30" s="524"/>
      <c r="BH30" s="524"/>
      <c r="BI30" s="524"/>
      <c r="BJ30" s="524"/>
      <c r="BK30" s="524"/>
      <c r="BL30" s="524"/>
      <c r="BM30" s="524"/>
      <c r="BN30" s="524"/>
      <c r="BO30" s="524"/>
      <c r="BP30" s="527"/>
      <c r="BQ30" s="523"/>
      <c r="BR30" s="524"/>
      <c r="BS30" s="524"/>
      <c r="BT30" s="524"/>
      <c r="BU30" s="524"/>
      <c r="BV30" s="524"/>
      <c r="BW30" s="524"/>
      <c r="BX30" s="524"/>
      <c r="BY30" s="524"/>
      <c r="BZ30" s="524"/>
      <c r="CA30" s="524"/>
      <c r="CB30" s="524"/>
      <c r="CC30" s="524"/>
      <c r="CD30" s="525"/>
      <c r="CE30" s="528" t="s">
        <v>161</v>
      </c>
      <c r="CF30" s="529"/>
      <c r="CG30" s="530"/>
      <c r="CH30" s="531">
        <f t="shared" si="1"/>
        <v>0</v>
      </c>
      <c r="CI30" s="532"/>
      <c r="CJ30" s="532"/>
      <c r="CK30" s="532"/>
      <c r="CL30" s="532"/>
      <c r="CM30" s="532"/>
      <c r="CN30" s="532"/>
      <c r="CO30" s="532"/>
      <c r="CP30" s="532"/>
      <c r="CQ30" s="532"/>
      <c r="CR30" s="532"/>
      <c r="CS30" s="532"/>
      <c r="CT30" s="533"/>
      <c r="CU30" s="27"/>
    </row>
    <row r="31" spans="5:99" s="33" customFormat="1" ht="11.25" customHeight="1">
      <c r="E31" s="39"/>
      <c r="F31" s="40"/>
      <c r="G31" s="40"/>
      <c r="H31" s="40"/>
      <c r="I31" s="613" t="s">
        <v>223</v>
      </c>
      <c r="J31" s="613"/>
      <c r="K31" s="613"/>
      <c r="L31" s="613"/>
      <c r="M31" s="613"/>
      <c r="N31" s="613"/>
      <c r="O31" s="613"/>
      <c r="P31" s="613"/>
      <c r="Q31" s="613"/>
      <c r="R31" s="613"/>
      <c r="S31" s="613"/>
      <c r="T31" s="613"/>
      <c r="U31" s="613"/>
      <c r="V31" s="613"/>
      <c r="W31" s="613"/>
      <c r="X31" s="613"/>
      <c r="Y31" s="613"/>
      <c r="Z31" s="613"/>
      <c r="AA31" s="613"/>
      <c r="AB31" s="613"/>
      <c r="AC31" s="613"/>
      <c r="AD31" s="613"/>
      <c r="AE31" s="613"/>
      <c r="AF31" s="613"/>
      <c r="AG31" s="613"/>
      <c r="AH31" s="613"/>
      <c r="AI31" s="613"/>
      <c r="AJ31" s="613"/>
      <c r="AK31" s="613"/>
      <c r="AL31" s="613"/>
      <c r="AM31" s="613"/>
      <c r="AN31" s="613"/>
      <c r="AO31" s="613"/>
      <c r="AP31" s="613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503">
        <f>SUM(CH10:CT30)</f>
        <v>0</v>
      </c>
      <c r="CI31" s="503"/>
      <c r="CJ31" s="503"/>
      <c r="CK31" s="503"/>
      <c r="CL31" s="503"/>
      <c r="CM31" s="503"/>
      <c r="CN31" s="503"/>
      <c r="CO31" s="503"/>
      <c r="CP31" s="503"/>
      <c r="CQ31" s="503"/>
      <c r="CR31" s="503"/>
      <c r="CS31" s="503"/>
      <c r="CT31" s="504"/>
      <c r="CU31" s="37"/>
    </row>
    <row r="32" spans="5:99" s="33" customFormat="1" ht="9.75" customHeight="1">
      <c r="E32" s="41"/>
      <c r="F32" s="42"/>
      <c r="G32" s="42"/>
      <c r="H32" s="42"/>
      <c r="I32" s="614" t="s">
        <v>193</v>
      </c>
      <c r="J32" s="614"/>
      <c r="K32" s="614"/>
      <c r="L32" s="614"/>
      <c r="M32" s="614"/>
      <c r="N32" s="614"/>
      <c r="O32" s="614"/>
      <c r="P32" s="614"/>
      <c r="Q32" s="614"/>
      <c r="R32" s="614"/>
      <c r="S32" s="614"/>
      <c r="T32" s="614"/>
      <c r="U32" s="614"/>
      <c r="V32" s="614"/>
      <c r="W32" s="614"/>
      <c r="X32" s="614"/>
      <c r="Y32" s="614"/>
      <c r="Z32" s="614"/>
      <c r="AA32" s="614"/>
      <c r="AB32" s="614"/>
      <c r="AC32" s="614"/>
      <c r="AD32" s="614"/>
      <c r="AE32" s="614"/>
      <c r="AF32" s="614"/>
      <c r="AG32" s="614"/>
      <c r="AH32" s="614"/>
      <c r="AI32" s="614"/>
      <c r="AJ32" s="614"/>
      <c r="AK32" s="614"/>
      <c r="AL32" s="614"/>
      <c r="AM32" s="614"/>
      <c r="AN32" s="614"/>
      <c r="AO32" s="614"/>
      <c r="AP32" s="614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38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505"/>
      <c r="CI32" s="505"/>
      <c r="CJ32" s="505"/>
      <c r="CK32" s="505"/>
      <c r="CL32" s="505"/>
      <c r="CM32" s="505"/>
      <c r="CN32" s="505"/>
      <c r="CO32" s="505"/>
      <c r="CP32" s="505"/>
      <c r="CQ32" s="505"/>
      <c r="CR32" s="505"/>
      <c r="CS32" s="505"/>
      <c r="CT32" s="506"/>
      <c r="CU32" s="38"/>
    </row>
    <row r="33" spans="5:99">
      <c r="E33" s="625"/>
      <c r="F33" s="626"/>
      <c r="G33" s="626"/>
      <c r="H33" s="627"/>
      <c r="I33" s="617" t="s">
        <v>194</v>
      </c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8"/>
      <c r="X33" s="618"/>
      <c r="Y33" s="618"/>
      <c r="Z33" s="618"/>
      <c r="AA33" s="618"/>
      <c r="AB33" s="618"/>
      <c r="AC33" s="618"/>
      <c r="AD33" s="618"/>
      <c r="AE33" s="618"/>
      <c r="AF33" s="618"/>
      <c r="AG33" s="618"/>
      <c r="AH33" s="618"/>
      <c r="AI33" s="618"/>
      <c r="AJ33" s="618"/>
      <c r="AK33" s="618"/>
      <c r="AL33" s="618"/>
      <c r="AM33" s="618"/>
      <c r="AN33" s="618"/>
      <c r="AO33" s="615" t="s">
        <v>195</v>
      </c>
      <c r="AP33" s="615"/>
      <c r="AQ33" s="615"/>
      <c r="AR33" s="615"/>
      <c r="AS33" s="615"/>
      <c r="AT33" s="615"/>
      <c r="AU33" s="615"/>
      <c r="AV33" s="615"/>
      <c r="AW33" s="615"/>
      <c r="AX33" s="615"/>
      <c r="AY33" s="615"/>
      <c r="AZ33" s="615"/>
      <c r="BA33" s="616"/>
      <c r="BB33" s="507" t="s">
        <v>198</v>
      </c>
      <c r="BC33" s="508"/>
      <c r="BD33" s="508"/>
      <c r="BE33" s="508"/>
      <c r="BF33" s="508"/>
      <c r="BG33" s="508"/>
      <c r="BH33" s="508"/>
      <c r="BI33" s="509"/>
      <c r="BJ33" s="509"/>
      <c r="BK33" s="509"/>
      <c r="BL33" s="509"/>
      <c r="BM33" s="509"/>
      <c r="BN33" s="509"/>
      <c r="BO33" s="509"/>
      <c r="BP33" s="509"/>
      <c r="BQ33" s="509"/>
      <c r="BR33" s="509"/>
      <c r="BS33" s="509"/>
      <c r="BT33" s="509"/>
      <c r="BU33" s="509"/>
      <c r="BV33" s="509"/>
      <c r="BW33" s="509"/>
      <c r="BX33" s="509"/>
      <c r="BY33" s="509"/>
      <c r="BZ33" s="509"/>
      <c r="CA33" s="509"/>
      <c r="CB33" s="509"/>
      <c r="CC33" s="510" t="s">
        <v>199</v>
      </c>
      <c r="CD33" s="510"/>
      <c r="CE33" s="510"/>
      <c r="CF33" s="510"/>
      <c r="CG33" s="510"/>
      <c r="CH33" s="510"/>
      <c r="CI33" s="510"/>
      <c r="CJ33" s="510"/>
      <c r="CK33" s="510"/>
      <c r="CL33" s="510"/>
      <c r="CM33" s="510"/>
      <c r="CN33" s="510"/>
      <c r="CO33" s="510"/>
      <c r="CP33" s="510"/>
      <c r="CQ33" s="510"/>
      <c r="CR33" s="510"/>
      <c r="CS33" s="510"/>
      <c r="CT33" s="511"/>
      <c r="CU33" s="36"/>
    </row>
    <row r="34" spans="5:99" ht="11.25" customHeight="1">
      <c r="E34" s="628"/>
      <c r="F34" s="629"/>
      <c r="G34" s="629"/>
      <c r="H34" s="629"/>
      <c r="I34" s="600" t="s">
        <v>197</v>
      </c>
      <c r="J34" s="601"/>
      <c r="K34" s="601"/>
      <c r="L34" s="601"/>
      <c r="M34" s="601"/>
      <c r="N34" s="601"/>
      <c r="O34" s="601"/>
      <c r="P34" s="601"/>
      <c r="Q34" s="601"/>
      <c r="R34" s="601"/>
      <c r="S34" s="601"/>
      <c r="T34" s="601"/>
      <c r="U34" s="601"/>
      <c r="V34" s="601"/>
      <c r="W34" s="601"/>
      <c r="X34" s="601"/>
      <c r="Y34" s="601"/>
      <c r="Z34" s="601"/>
      <c r="AA34" s="601"/>
      <c r="AB34" s="601"/>
      <c r="AC34" s="601"/>
      <c r="AD34" s="601"/>
      <c r="AE34" s="601"/>
      <c r="AF34" s="601"/>
      <c r="AG34" s="601"/>
      <c r="AH34" s="601"/>
      <c r="AI34" s="601"/>
      <c r="AJ34" s="601"/>
      <c r="AK34" s="601"/>
      <c r="AL34" s="601"/>
      <c r="AM34" s="601"/>
      <c r="AN34" s="602"/>
      <c r="AO34" s="600" t="s">
        <v>196</v>
      </c>
      <c r="AP34" s="601"/>
      <c r="AQ34" s="601"/>
      <c r="AR34" s="601"/>
      <c r="AS34" s="601"/>
      <c r="AT34" s="601"/>
      <c r="AU34" s="601"/>
      <c r="AV34" s="601"/>
      <c r="AW34" s="601"/>
      <c r="AX34" s="601"/>
      <c r="AY34" s="601"/>
      <c r="AZ34" s="601"/>
      <c r="BA34" s="602"/>
      <c r="BB34" s="29"/>
      <c r="BC34" s="30"/>
      <c r="BD34" s="28"/>
      <c r="BE34" s="29"/>
      <c r="BF34" s="29"/>
      <c r="BG34" s="29"/>
      <c r="BH34" s="30"/>
      <c r="BI34" s="449"/>
      <c r="BJ34" s="450"/>
      <c r="BK34" s="450"/>
      <c r="BL34" s="450"/>
      <c r="BM34" s="450"/>
      <c r="BN34" s="450"/>
      <c r="BO34" s="450"/>
      <c r="BP34" s="450"/>
      <c r="BQ34" s="450"/>
      <c r="BR34" s="450"/>
      <c r="BS34" s="450"/>
      <c r="BT34" s="450"/>
      <c r="BU34" s="450"/>
      <c r="BV34" s="450"/>
      <c r="BW34" s="450"/>
      <c r="BX34" s="450"/>
      <c r="BY34" s="450"/>
      <c r="BZ34" s="450"/>
      <c r="CA34" s="450"/>
      <c r="CB34" s="450"/>
      <c r="CC34" s="451"/>
      <c r="CD34" s="28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30"/>
      <c r="CU34" s="30"/>
    </row>
    <row r="35" spans="5:99" ht="20.25" customHeight="1">
      <c r="E35" s="610" t="s">
        <v>224</v>
      </c>
      <c r="F35" s="611"/>
      <c r="G35" s="611"/>
      <c r="H35" s="640"/>
      <c r="I35" s="603" t="s">
        <v>206</v>
      </c>
      <c r="J35" s="604"/>
      <c r="K35" s="604"/>
      <c r="L35" s="604"/>
      <c r="M35" s="604"/>
      <c r="N35" s="604"/>
      <c r="O35" s="604"/>
      <c r="P35" s="604"/>
      <c r="Q35" s="604"/>
      <c r="R35" s="604"/>
      <c r="S35" s="604"/>
      <c r="T35" s="604"/>
      <c r="U35" s="604"/>
      <c r="V35" s="604"/>
      <c r="W35" s="604"/>
      <c r="X35" s="604"/>
      <c r="Y35" s="604"/>
      <c r="Z35" s="604"/>
      <c r="AA35" s="604"/>
      <c r="AB35" s="604"/>
      <c r="AC35" s="604"/>
      <c r="AD35" s="604"/>
      <c r="AE35" s="604"/>
      <c r="AF35" s="604"/>
      <c r="AG35" s="604"/>
      <c r="AH35" s="604"/>
      <c r="AI35" s="604"/>
      <c r="AJ35" s="604"/>
      <c r="AK35" s="604"/>
      <c r="AL35" s="604"/>
      <c r="AM35" s="604"/>
      <c r="AN35" s="605"/>
      <c r="AO35" s="582"/>
      <c r="AP35" s="583"/>
      <c r="AQ35" s="583"/>
      <c r="AR35" s="583"/>
      <c r="AS35" s="583"/>
      <c r="AT35" s="583"/>
      <c r="AU35" s="583"/>
      <c r="AV35" s="583"/>
      <c r="AW35" s="583"/>
      <c r="AX35" s="583"/>
      <c r="AY35" s="583"/>
      <c r="AZ35" s="583"/>
      <c r="BA35" s="584"/>
      <c r="BB35" s="22"/>
      <c r="BC35" s="23"/>
      <c r="BD35" s="497" t="s">
        <v>215</v>
      </c>
      <c r="BE35" s="498"/>
      <c r="BF35" s="498"/>
      <c r="BG35" s="498"/>
      <c r="BH35" s="499"/>
      <c r="BI35" s="491" t="s">
        <v>211</v>
      </c>
      <c r="BJ35" s="492"/>
      <c r="BK35" s="492"/>
      <c r="BL35" s="492"/>
      <c r="BM35" s="492"/>
      <c r="BN35" s="492"/>
      <c r="BO35" s="492"/>
      <c r="BP35" s="492"/>
      <c r="BQ35" s="492"/>
      <c r="BR35" s="492"/>
      <c r="BS35" s="492"/>
      <c r="BT35" s="492"/>
      <c r="BU35" s="492"/>
      <c r="BV35" s="492"/>
      <c r="BW35" s="492"/>
      <c r="BX35" s="492"/>
      <c r="BY35" s="492"/>
      <c r="BZ35" s="492"/>
      <c r="CA35" s="492"/>
      <c r="CB35" s="492"/>
      <c r="CC35" s="493"/>
      <c r="CD35" s="500">
        <f>CH31</f>
        <v>0</v>
      </c>
      <c r="CE35" s="501"/>
      <c r="CF35" s="501"/>
      <c r="CG35" s="501"/>
      <c r="CH35" s="501"/>
      <c r="CI35" s="501"/>
      <c r="CJ35" s="501"/>
      <c r="CK35" s="501"/>
      <c r="CL35" s="501"/>
      <c r="CM35" s="501"/>
      <c r="CN35" s="501"/>
      <c r="CO35" s="501"/>
      <c r="CP35" s="501"/>
      <c r="CQ35" s="501"/>
      <c r="CR35" s="501"/>
      <c r="CS35" s="501"/>
      <c r="CT35" s="502"/>
    </row>
    <row r="36" spans="5:99" ht="13.5" customHeight="1">
      <c r="E36" s="633" t="s">
        <v>225</v>
      </c>
      <c r="F36" s="634"/>
      <c r="G36" s="634"/>
      <c r="H36" s="635"/>
      <c r="I36" s="585" t="s">
        <v>200</v>
      </c>
      <c r="J36" s="586"/>
      <c r="K36" s="586"/>
      <c r="L36" s="586"/>
      <c r="M36" s="586"/>
      <c r="N36" s="586"/>
      <c r="O36" s="586"/>
      <c r="P36" s="586"/>
      <c r="Q36" s="586"/>
      <c r="R36" s="586"/>
      <c r="S36" s="586"/>
      <c r="T36" s="586"/>
      <c r="U36" s="586"/>
      <c r="V36" s="586"/>
      <c r="W36" s="586"/>
      <c r="X36" s="586"/>
      <c r="Y36" s="586"/>
      <c r="Z36" s="586"/>
      <c r="AA36" s="586"/>
      <c r="AB36" s="586"/>
      <c r="AC36" s="586"/>
      <c r="AD36" s="586"/>
      <c r="AE36" s="586"/>
      <c r="AF36" s="586"/>
      <c r="AG36" s="586"/>
      <c r="AH36" s="586"/>
      <c r="AI36" s="586"/>
      <c r="AJ36" s="586"/>
      <c r="AK36" s="586"/>
      <c r="AL36" s="586"/>
      <c r="AM36" s="586"/>
      <c r="AN36" s="587"/>
      <c r="AO36" s="443"/>
      <c r="AP36" s="444"/>
      <c r="AQ36" s="444"/>
      <c r="AR36" s="444"/>
      <c r="AS36" s="444"/>
      <c r="AT36" s="444"/>
      <c r="AU36" s="444"/>
      <c r="AV36" s="444"/>
      <c r="AW36" s="444"/>
      <c r="AX36" s="444"/>
      <c r="AY36" s="444"/>
      <c r="AZ36" s="444"/>
      <c r="BA36" s="445"/>
      <c r="BB36" s="24"/>
      <c r="BC36" s="25"/>
      <c r="BD36" s="482" t="s">
        <v>216</v>
      </c>
      <c r="BE36" s="483"/>
      <c r="BF36" s="483"/>
      <c r="BG36" s="483"/>
      <c r="BH36" s="484"/>
      <c r="BI36" s="469" t="s">
        <v>212</v>
      </c>
      <c r="BJ36" s="470"/>
      <c r="BK36" s="470"/>
      <c r="BL36" s="470"/>
      <c r="BM36" s="470"/>
      <c r="BN36" s="470"/>
      <c r="BO36" s="470"/>
      <c r="BP36" s="470"/>
      <c r="BQ36" s="470"/>
      <c r="BR36" s="470"/>
      <c r="BS36" s="470"/>
      <c r="BT36" s="470"/>
      <c r="BU36" s="470"/>
      <c r="BV36" s="470"/>
      <c r="BW36" s="470"/>
      <c r="BX36" s="470"/>
      <c r="BY36" s="470"/>
      <c r="BZ36" s="470"/>
      <c r="CA36" s="470"/>
      <c r="CB36" s="470"/>
      <c r="CC36" s="471"/>
      <c r="CD36" s="455"/>
      <c r="CE36" s="456"/>
      <c r="CF36" s="456"/>
      <c r="CG36" s="456"/>
      <c r="CH36" s="456"/>
      <c r="CI36" s="456"/>
      <c r="CJ36" s="456"/>
      <c r="CK36" s="456"/>
      <c r="CL36" s="456"/>
      <c r="CM36" s="456"/>
      <c r="CN36" s="456"/>
      <c r="CO36" s="456"/>
      <c r="CP36" s="456"/>
      <c r="CQ36" s="456"/>
      <c r="CR36" s="456"/>
      <c r="CS36" s="456"/>
      <c r="CT36" s="457"/>
    </row>
    <row r="37" spans="5:99" ht="12.75" customHeight="1">
      <c r="E37" s="633" t="s">
        <v>226</v>
      </c>
      <c r="F37" s="634"/>
      <c r="G37" s="634"/>
      <c r="H37" s="635"/>
      <c r="I37" s="585" t="s">
        <v>201</v>
      </c>
      <c r="J37" s="586"/>
      <c r="K37" s="586"/>
      <c r="L37" s="586"/>
      <c r="M37" s="586"/>
      <c r="N37" s="586"/>
      <c r="O37" s="586"/>
      <c r="P37" s="586"/>
      <c r="Q37" s="586"/>
      <c r="R37" s="586"/>
      <c r="S37" s="586"/>
      <c r="T37" s="586"/>
      <c r="U37" s="586"/>
      <c r="V37" s="586"/>
      <c r="W37" s="586"/>
      <c r="X37" s="586"/>
      <c r="Y37" s="586"/>
      <c r="Z37" s="586"/>
      <c r="AA37" s="586"/>
      <c r="AB37" s="586"/>
      <c r="AC37" s="586"/>
      <c r="AD37" s="586"/>
      <c r="AE37" s="586"/>
      <c r="AF37" s="586"/>
      <c r="AG37" s="586"/>
      <c r="AH37" s="586"/>
      <c r="AI37" s="586"/>
      <c r="AJ37" s="586"/>
      <c r="AK37" s="586"/>
      <c r="AL37" s="586"/>
      <c r="AM37" s="586"/>
      <c r="AN37" s="587"/>
      <c r="AO37" s="443"/>
      <c r="AP37" s="444"/>
      <c r="AQ37" s="444"/>
      <c r="AR37" s="444"/>
      <c r="AS37" s="444"/>
      <c r="AT37" s="444"/>
      <c r="AU37" s="444"/>
      <c r="AV37" s="444"/>
      <c r="AW37" s="444"/>
      <c r="AX37" s="444"/>
      <c r="AY37" s="444"/>
      <c r="AZ37" s="444"/>
      <c r="BA37" s="445"/>
      <c r="BB37" s="24"/>
      <c r="BC37" s="25"/>
      <c r="BD37" s="485"/>
      <c r="BE37" s="486"/>
      <c r="BF37" s="486"/>
      <c r="BG37" s="486"/>
      <c r="BH37" s="487"/>
      <c r="BI37" s="472" t="s">
        <v>213</v>
      </c>
      <c r="BJ37" s="473"/>
      <c r="BK37" s="473"/>
      <c r="BL37" s="473"/>
      <c r="BM37" s="473"/>
      <c r="BN37" s="473"/>
      <c r="BO37" s="473"/>
      <c r="BP37" s="473"/>
      <c r="BQ37" s="473"/>
      <c r="BR37" s="473"/>
      <c r="BS37" s="473"/>
      <c r="BT37" s="473"/>
      <c r="BU37" s="473"/>
      <c r="BV37" s="473"/>
      <c r="BW37" s="473"/>
      <c r="BX37" s="473"/>
      <c r="BY37" s="473"/>
      <c r="BZ37" s="473"/>
      <c r="CA37" s="473"/>
      <c r="CB37" s="473"/>
      <c r="CC37" s="474"/>
      <c r="CD37" s="458"/>
      <c r="CE37" s="459"/>
      <c r="CF37" s="459"/>
      <c r="CG37" s="459"/>
      <c r="CH37" s="459"/>
      <c r="CI37" s="459"/>
      <c r="CJ37" s="459"/>
      <c r="CK37" s="459"/>
      <c r="CL37" s="459"/>
      <c r="CM37" s="459"/>
      <c r="CN37" s="459"/>
      <c r="CO37" s="459"/>
      <c r="CP37" s="459"/>
      <c r="CQ37" s="459"/>
      <c r="CR37" s="459"/>
      <c r="CS37" s="459"/>
      <c r="CT37" s="460"/>
    </row>
    <row r="38" spans="5:99" ht="12.75" customHeight="1">
      <c r="E38" s="633" t="s">
        <v>227</v>
      </c>
      <c r="F38" s="634"/>
      <c r="G38" s="634"/>
      <c r="H38" s="635"/>
      <c r="I38" s="585" t="s">
        <v>202</v>
      </c>
      <c r="J38" s="586"/>
      <c r="K38" s="586"/>
      <c r="L38" s="586"/>
      <c r="M38" s="586"/>
      <c r="N38" s="586"/>
      <c r="O38" s="586"/>
      <c r="P38" s="586"/>
      <c r="Q38" s="586"/>
      <c r="R38" s="586"/>
      <c r="S38" s="586"/>
      <c r="T38" s="586"/>
      <c r="U38" s="586"/>
      <c r="V38" s="586"/>
      <c r="W38" s="586"/>
      <c r="X38" s="586"/>
      <c r="Y38" s="586"/>
      <c r="Z38" s="586"/>
      <c r="AA38" s="586"/>
      <c r="AB38" s="586"/>
      <c r="AC38" s="586"/>
      <c r="AD38" s="586"/>
      <c r="AE38" s="586"/>
      <c r="AF38" s="586"/>
      <c r="AG38" s="586"/>
      <c r="AH38" s="586"/>
      <c r="AI38" s="586"/>
      <c r="AJ38" s="586"/>
      <c r="AK38" s="586"/>
      <c r="AL38" s="586"/>
      <c r="AM38" s="586"/>
      <c r="AN38" s="587"/>
      <c r="AO38" s="443"/>
      <c r="AP38" s="444"/>
      <c r="AQ38" s="444"/>
      <c r="AR38" s="444"/>
      <c r="AS38" s="444"/>
      <c r="AT38" s="444"/>
      <c r="AU38" s="444"/>
      <c r="AV38" s="444"/>
      <c r="AW38" s="444"/>
      <c r="AX38" s="444"/>
      <c r="AY38" s="444"/>
      <c r="AZ38" s="444"/>
      <c r="BA38" s="445"/>
      <c r="BB38" s="24"/>
      <c r="BC38" s="25"/>
      <c r="BD38" s="482" t="s">
        <v>217</v>
      </c>
      <c r="BE38" s="483"/>
      <c r="BF38" s="483"/>
      <c r="BG38" s="483"/>
      <c r="BH38" s="484"/>
      <c r="BI38" s="469" t="s">
        <v>214</v>
      </c>
      <c r="BJ38" s="470"/>
      <c r="BK38" s="470"/>
      <c r="BL38" s="470"/>
      <c r="BM38" s="470"/>
      <c r="BN38" s="470"/>
      <c r="BO38" s="470"/>
      <c r="BP38" s="470"/>
      <c r="BQ38" s="470"/>
      <c r="BR38" s="470"/>
      <c r="BS38" s="470"/>
      <c r="BT38" s="470"/>
      <c r="BU38" s="470"/>
      <c r="BV38" s="470"/>
      <c r="BW38" s="470"/>
      <c r="BX38" s="470"/>
      <c r="BY38" s="470"/>
      <c r="BZ38" s="470"/>
      <c r="CA38" s="470"/>
      <c r="CB38" s="470"/>
      <c r="CC38" s="471"/>
      <c r="CD38" s="455"/>
      <c r="CE38" s="456"/>
      <c r="CF38" s="456"/>
      <c r="CG38" s="456"/>
      <c r="CH38" s="456"/>
      <c r="CI38" s="456"/>
      <c r="CJ38" s="456"/>
      <c r="CK38" s="456"/>
      <c r="CL38" s="456"/>
      <c r="CM38" s="456"/>
      <c r="CN38" s="456"/>
      <c r="CO38" s="456"/>
      <c r="CP38" s="456"/>
      <c r="CQ38" s="456"/>
      <c r="CR38" s="456"/>
      <c r="CS38" s="456"/>
      <c r="CT38" s="457"/>
    </row>
    <row r="39" spans="5:99" ht="14.25" customHeight="1">
      <c r="E39" s="633" t="s">
        <v>228</v>
      </c>
      <c r="F39" s="634"/>
      <c r="G39" s="634"/>
      <c r="H39" s="635"/>
      <c r="I39" s="585" t="s">
        <v>207</v>
      </c>
      <c r="J39" s="586"/>
      <c r="K39" s="586"/>
      <c r="L39" s="586"/>
      <c r="M39" s="586"/>
      <c r="N39" s="586"/>
      <c r="O39" s="586"/>
      <c r="P39" s="586"/>
      <c r="Q39" s="586"/>
      <c r="R39" s="586"/>
      <c r="S39" s="586"/>
      <c r="T39" s="586"/>
      <c r="U39" s="586"/>
      <c r="V39" s="586"/>
      <c r="W39" s="586"/>
      <c r="X39" s="586"/>
      <c r="Y39" s="586"/>
      <c r="Z39" s="586"/>
      <c r="AA39" s="586"/>
      <c r="AB39" s="586"/>
      <c r="AC39" s="586"/>
      <c r="AD39" s="586"/>
      <c r="AE39" s="586"/>
      <c r="AF39" s="586"/>
      <c r="AG39" s="586"/>
      <c r="AH39" s="586"/>
      <c r="AI39" s="586"/>
      <c r="AJ39" s="586"/>
      <c r="AK39" s="586"/>
      <c r="AL39" s="586"/>
      <c r="AM39" s="586"/>
      <c r="AN39" s="587"/>
      <c r="AO39" s="443"/>
      <c r="AP39" s="444"/>
      <c r="AQ39" s="444"/>
      <c r="AR39" s="444"/>
      <c r="AS39" s="444"/>
      <c r="AT39" s="444"/>
      <c r="AU39" s="444"/>
      <c r="AV39" s="444"/>
      <c r="AW39" s="444"/>
      <c r="AX39" s="444"/>
      <c r="AY39" s="444"/>
      <c r="AZ39" s="444"/>
      <c r="BA39" s="445"/>
      <c r="BB39" s="24"/>
      <c r="BC39" s="25"/>
      <c r="BD39" s="485"/>
      <c r="BE39" s="486"/>
      <c r="BF39" s="486"/>
      <c r="BG39" s="486"/>
      <c r="BH39" s="487"/>
      <c r="BI39" s="494"/>
      <c r="BJ39" s="495"/>
      <c r="BK39" s="495"/>
      <c r="BL39" s="495"/>
      <c r="BM39" s="495"/>
      <c r="BN39" s="495"/>
      <c r="BO39" s="495"/>
      <c r="BP39" s="495"/>
      <c r="BQ39" s="495"/>
      <c r="BR39" s="495"/>
      <c r="BS39" s="495"/>
      <c r="BT39" s="495"/>
      <c r="BU39" s="495"/>
      <c r="BV39" s="495"/>
      <c r="BW39" s="495"/>
      <c r="BX39" s="495"/>
      <c r="BY39" s="495"/>
      <c r="BZ39" s="495"/>
      <c r="CA39" s="495"/>
      <c r="CB39" s="495"/>
      <c r="CC39" s="496"/>
      <c r="CD39" s="458"/>
      <c r="CE39" s="459"/>
      <c r="CF39" s="459"/>
      <c r="CG39" s="459"/>
      <c r="CH39" s="459"/>
      <c r="CI39" s="459"/>
      <c r="CJ39" s="459"/>
      <c r="CK39" s="459"/>
      <c r="CL39" s="459"/>
      <c r="CM39" s="459"/>
      <c r="CN39" s="459"/>
      <c r="CO39" s="459"/>
      <c r="CP39" s="459"/>
      <c r="CQ39" s="459"/>
      <c r="CR39" s="459"/>
      <c r="CS39" s="459"/>
      <c r="CT39" s="460"/>
    </row>
    <row r="40" spans="5:99" ht="15.75" customHeight="1">
      <c r="E40" s="633" t="s">
        <v>229</v>
      </c>
      <c r="F40" s="634"/>
      <c r="G40" s="634"/>
      <c r="H40" s="635"/>
      <c r="I40" s="585" t="s">
        <v>208</v>
      </c>
      <c r="J40" s="586"/>
      <c r="K40" s="586"/>
      <c r="L40" s="586"/>
      <c r="M40" s="586"/>
      <c r="N40" s="586"/>
      <c r="O40" s="586"/>
      <c r="P40" s="586"/>
      <c r="Q40" s="586"/>
      <c r="R40" s="586"/>
      <c r="S40" s="586"/>
      <c r="T40" s="586"/>
      <c r="U40" s="586"/>
      <c r="V40" s="586"/>
      <c r="W40" s="586"/>
      <c r="X40" s="586"/>
      <c r="Y40" s="586"/>
      <c r="Z40" s="586"/>
      <c r="AA40" s="586"/>
      <c r="AB40" s="586"/>
      <c r="AC40" s="586"/>
      <c r="AD40" s="586"/>
      <c r="AE40" s="586"/>
      <c r="AF40" s="586"/>
      <c r="AG40" s="586"/>
      <c r="AH40" s="586"/>
      <c r="AI40" s="586"/>
      <c r="AJ40" s="586"/>
      <c r="AK40" s="586"/>
      <c r="AL40" s="586"/>
      <c r="AM40" s="586"/>
      <c r="AN40" s="587"/>
      <c r="AO40" s="443"/>
      <c r="AP40" s="444"/>
      <c r="AQ40" s="444"/>
      <c r="AR40" s="444"/>
      <c r="AS40" s="444"/>
      <c r="AT40" s="444"/>
      <c r="AU40" s="444"/>
      <c r="AV40" s="444"/>
      <c r="AW40" s="444"/>
      <c r="AX40" s="444"/>
      <c r="AY40" s="444"/>
      <c r="AZ40" s="444"/>
      <c r="BA40" s="445"/>
      <c r="BB40" s="24"/>
      <c r="BC40" s="25"/>
      <c r="BD40" s="479"/>
      <c r="BE40" s="480"/>
      <c r="BF40" s="480"/>
      <c r="BG40" s="480"/>
      <c r="BH40" s="481"/>
      <c r="BI40" s="463" t="s">
        <v>222</v>
      </c>
      <c r="BJ40" s="464"/>
      <c r="BK40" s="464"/>
      <c r="BL40" s="464"/>
      <c r="BM40" s="464"/>
      <c r="BN40" s="464"/>
      <c r="BO40" s="464"/>
      <c r="BP40" s="464"/>
      <c r="BQ40" s="464"/>
      <c r="BR40" s="464"/>
      <c r="BS40" s="464"/>
      <c r="BT40" s="464"/>
      <c r="BU40" s="464"/>
      <c r="BV40" s="464"/>
      <c r="BW40" s="464"/>
      <c r="BX40" s="464"/>
      <c r="BY40" s="464"/>
      <c r="BZ40" s="464"/>
      <c r="CA40" s="464"/>
      <c r="CB40" s="464"/>
      <c r="CC40" s="465"/>
      <c r="CD40" s="452">
        <f>CD38+CD36+CD35</f>
        <v>0</v>
      </c>
      <c r="CE40" s="453"/>
      <c r="CF40" s="453"/>
      <c r="CG40" s="453"/>
      <c r="CH40" s="453"/>
      <c r="CI40" s="453"/>
      <c r="CJ40" s="453"/>
      <c r="CK40" s="453"/>
      <c r="CL40" s="453"/>
      <c r="CM40" s="453"/>
      <c r="CN40" s="453"/>
      <c r="CO40" s="453"/>
      <c r="CP40" s="453"/>
      <c r="CQ40" s="453"/>
      <c r="CR40" s="453"/>
      <c r="CS40" s="453"/>
      <c r="CT40" s="454"/>
    </row>
    <row r="41" spans="5:99" ht="15.75" customHeight="1">
      <c r="E41" s="515"/>
      <c r="F41" s="513"/>
      <c r="G41" s="513"/>
      <c r="H41" s="516"/>
      <c r="I41" s="585" t="s">
        <v>203</v>
      </c>
      <c r="J41" s="586"/>
      <c r="K41" s="586"/>
      <c r="L41" s="586"/>
      <c r="M41" s="586"/>
      <c r="N41" s="586"/>
      <c r="O41" s="586"/>
      <c r="P41" s="586"/>
      <c r="Q41" s="586"/>
      <c r="R41" s="586"/>
      <c r="S41" s="586"/>
      <c r="T41" s="586"/>
      <c r="U41" s="586"/>
      <c r="V41" s="586"/>
      <c r="W41" s="586"/>
      <c r="X41" s="586"/>
      <c r="Y41" s="586"/>
      <c r="Z41" s="586"/>
      <c r="AA41" s="586"/>
      <c r="AB41" s="586"/>
      <c r="AC41" s="586"/>
      <c r="AD41" s="586"/>
      <c r="AE41" s="586"/>
      <c r="AF41" s="586"/>
      <c r="AG41" s="586"/>
      <c r="AH41" s="586"/>
      <c r="AI41" s="586"/>
      <c r="AJ41" s="586"/>
      <c r="AK41" s="586"/>
      <c r="AL41" s="586"/>
      <c r="AM41" s="586"/>
      <c r="AN41" s="587"/>
      <c r="AO41" s="443"/>
      <c r="AP41" s="444"/>
      <c r="AQ41" s="444"/>
      <c r="AR41" s="444"/>
      <c r="AS41" s="444"/>
      <c r="AT41" s="444"/>
      <c r="AU41" s="444"/>
      <c r="AV41" s="444"/>
      <c r="AW41" s="444"/>
      <c r="AX41" s="444"/>
      <c r="AY41" s="444"/>
      <c r="AZ41" s="444"/>
      <c r="BA41" s="445"/>
      <c r="BB41" s="24"/>
      <c r="BC41" s="25"/>
      <c r="BD41" s="479" t="s">
        <v>230</v>
      </c>
      <c r="BE41" s="480"/>
      <c r="BF41" s="480"/>
      <c r="BG41" s="480"/>
      <c r="BH41" s="481"/>
      <c r="BI41" s="466" t="s">
        <v>218</v>
      </c>
      <c r="BJ41" s="467"/>
      <c r="BK41" s="467"/>
      <c r="BL41" s="467"/>
      <c r="BM41" s="467"/>
      <c r="BN41" s="467"/>
      <c r="BO41" s="467"/>
      <c r="BP41" s="467"/>
      <c r="BQ41" s="467"/>
      <c r="BR41" s="467"/>
      <c r="BS41" s="467"/>
      <c r="BT41" s="467"/>
      <c r="BU41" s="467"/>
      <c r="BV41" s="467"/>
      <c r="BW41" s="467"/>
      <c r="BX41" s="467"/>
      <c r="BY41" s="467"/>
      <c r="BZ41" s="467"/>
      <c r="CA41" s="467"/>
      <c r="CB41" s="467"/>
      <c r="CC41" s="468"/>
      <c r="CD41" s="452">
        <f>AO44</f>
        <v>0</v>
      </c>
      <c r="CE41" s="453"/>
      <c r="CF41" s="453"/>
      <c r="CG41" s="453"/>
      <c r="CH41" s="453"/>
      <c r="CI41" s="453"/>
      <c r="CJ41" s="453"/>
      <c r="CK41" s="453"/>
      <c r="CL41" s="453"/>
      <c r="CM41" s="453"/>
      <c r="CN41" s="453"/>
      <c r="CO41" s="453"/>
      <c r="CP41" s="453"/>
      <c r="CQ41" s="453"/>
      <c r="CR41" s="453"/>
      <c r="CS41" s="453"/>
      <c r="CT41" s="454"/>
    </row>
    <row r="42" spans="5:99" ht="10.5" customHeight="1">
      <c r="E42" s="515"/>
      <c r="F42" s="513"/>
      <c r="G42" s="513"/>
      <c r="H42" s="516"/>
      <c r="I42" s="641" t="s">
        <v>209</v>
      </c>
      <c r="J42" s="642"/>
      <c r="K42" s="642"/>
      <c r="L42" s="642"/>
      <c r="M42" s="642"/>
      <c r="N42" s="642"/>
      <c r="O42" s="642"/>
      <c r="P42" s="642"/>
      <c r="Q42" s="642"/>
      <c r="R42" s="642"/>
      <c r="S42" s="642"/>
      <c r="T42" s="642"/>
      <c r="U42" s="642"/>
      <c r="V42" s="642"/>
      <c r="W42" s="642"/>
      <c r="X42" s="642"/>
      <c r="Y42" s="642"/>
      <c r="Z42" s="642"/>
      <c r="AA42" s="642"/>
      <c r="AB42" s="642"/>
      <c r="AC42" s="642"/>
      <c r="AD42" s="642"/>
      <c r="AE42" s="642"/>
      <c r="AF42" s="642"/>
      <c r="AG42" s="642"/>
      <c r="AH42" s="642"/>
      <c r="AI42" s="642"/>
      <c r="AJ42" s="642"/>
      <c r="AK42" s="642"/>
      <c r="AL42" s="642"/>
      <c r="AM42" s="642"/>
      <c r="AN42" s="643"/>
      <c r="AO42" s="443"/>
      <c r="AP42" s="444"/>
      <c r="AQ42" s="444"/>
      <c r="AR42" s="444"/>
      <c r="AS42" s="444"/>
      <c r="AT42" s="444"/>
      <c r="AU42" s="444"/>
      <c r="AV42" s="444"/>
      <c r="AW42" s="444"/>
      <c r="AX42" s="444"/>
      <c r="AY42" s="444"/>
      <c r="AZ42" s="444"/>
      <c r="BA42" s="445"/>
      <c r="BB42" s="24"/>
      <c r="BC42" s="25"/>
      <c r="BD42" s="482" t="s">
        <v>231</v>
      </c>
      <c r="BE42" s="483"/>
      <c r="BF42" s="483"/>
      <c r="BG42" s="483"/>
      <c r="BH42" s="484"/>
      <c r="BI42" s="469" t="s">
        <v>219</v>
      </c>
      <c r="BJ42" s="470"/>
      <c r="BK42" s="470"/>
      <c r="BL42" s="470"/>
      <c r="BM42" s="470"/>
      <c r="BN42" s="470"/>
      <c r="BO42" s="470"/>
      <c r="BP42" s="470"/>
      <c r="BQ42" s="470"/>
      <c r="BR42" s="470"/>
      <c r="BS42" s="470"/>
      <c r="BT42" s="470"/>
      <c r="BU42" s="470"/>
      <c r="BV42" s="470"/>
      <c r="BW42" s="470"/>
      <c r="BX42" s="470"/>
      <c r="BY42" s="470"/>
      <c r="BZ42" s="470"/>
      <c r="CA42" s="470"/>
      <c r="CB42" s="470"/>
      <c r="CC42" s="471"/>
      <c r="CD42" s="434">
        <f>IF(CD40-CD41&gt;0,CD40-CD41,0)</f>
        <v>0</v>
      </c>
      <c r="CE42" s="435"/>
      <c r="CF42" s="435"/>
      <c r="CG42" s="435"/>
      <c r="CH42" s="435"/>
      <c r="CI42" s="435"/>
      <c r="CJ42" s="435"/>
      <c r="CK42" s="435"/>
      <c r="CL42" s="435"/>
      <c r="CM42" s="435"/>
      <c r="CN42" s="435"/>
      <c r="CO42" s="435"/>
      <c r="CP42" s="435"/>
      <c r="CQ42" s="435"/>
      <c r="CR42" s="435"/>
      <c r="CS42" s="435"/>
      <c r="CT42" s="436"/>
    </row>
    <row r="43" spans="5:99" ht="10.5" customHeight="1">
      <c r="E43" s="515"/>
      <c r="F43" s="513"/>
      <c r="G43" s="513"/>
      <c r="H43" s="516"/>
      <c r="I43" s="644" t="s">
        <v>210</v>
      </c>
      <c r="J43" s="645"/>
      <c r="K43" s="645"/>
      <c r="L43" s="645"/>
      <c r="M43" s="645"/>
      <c r="N43" s="645"/>
      <c r="O43" s="645"/>
      <c r="P43" s="645"/>
      <c r="Q43" s="645"/>
      <c r="R43" s="645"/>
      <c r="S43" s="645"/>
      <c r="T43" s="645"/>
      <c r="U43" s="645"/>
      <c r="V43" s="645"/>
      <c r="W43" s="645"/>
      <c r="X43" s="645"/>
      <c r="Y43" s="645"/>
      <c r="Z43" s="645"/>
      <c r="AA43" s="645"/>
      <c r="AB43" s="645"/>
      <c r="AC43" s="645"/>
      <c r="AD43" s="645"/>
      <c r="AE43" s="645"/>
      <c r="AF43" s="645"/>
      <c r="AG43" s="645"/>
      <c r="AH43" s="645"/>
      <c r="AI43" s="645"/>
      <c r="AJ43" s="645"/>
      <c r="AK43" s="645"/>
      <c r="AL43" s="645"/>
      <c r="AM43" s="645"/>
      <c r="AN43" s="646"/>
      <c r="AO43" s="446"/>
      <c r="AP43" s="447"/>
      <c r="AQ43" s="447"/>
      <c r="AR43" s="447"/>
      <c r="AS43" s="447"/>
      <c r="AT43" s="447"/>
      <c r="AU43" s="447"/>
      <c r="AV43" s="447"/>
      <c r="AW43" s="447"/>
      <c r="AX43" s="447"/>
      <c r="AY43" s="447"/>
      <c r="AZ43" s="447"/>
      <c r="BA43" s="448"/>
      <c r="BB43" s="24"/>
      <c r="BC43" s="25"/>
      <c r="BD43" s="485"/>
      <c r="BE43" s="486"/>
      <c r="BF43" s="486"/>
      <c r="BG43" s="486"/>
      <c r="BH43" s="487"/>
      <c r="BI43" s="472" t="s">
        <v>220</v>
      </c>
      <c r="BJ43" s="473"/>
      <c r="BK43" s="473"/>
      <c r="BL43" s="473"/>
      <c r="BM43" s="473"/>
      <c r="BN43" s="473"/>
      <c r="BO43" s="473"/>
      <c r="BP43" s="473"/>
      <c r="BQ43" s="473"/>
      <c r="BR43" s="473"/>
      <c r="BS43" s="473"/>
      <c r="BT43" s="473"/>
      <c r="BU43" s="473"/>
      <c r="BV43" s="473"/>
      <c r="BW43" s="473"/>
      <c r="BX43" s="473"/>
      <c r="BY43" s="473"/>
      <c r="BZ43" s="473"/>
      <c r="CA43" s="473"/>
      <c r="CB43" s="473"/>
      <c r="CC43" s="474"/>
      <c r="CD43" s="437"/>
      <c r="CE43" s="438"/>
      <c r="CF43" s="438"/>
      <c r="CG43" s="438"/>
      <c r="CH43" s="438"/>
      <c r="CI43" s="438"/>
      <c r="CJ43" s="438"/>
      <c r="CK43" s="438"/>
      <c r="CL43" s="438"/>
      <c r="CM43" s="438"/>
      <c r="CN43" s="438"/>
      <c r="CO43" s="438"/>
      <c r="CP43" s="438"/>
      <c r="CQ43" s="438"/>
      <c r="CR43" s="438"/>
      <c r="CS43" s="438"/>
      <c r="CT43" s="439"/>
    </row>
    <row r="44" spans="5:99" ht="12" customHeight="1">
      <c r="E44" s="619"/>
      <c r="F44" s="620"/>
      <c r="G44" s="620"/>
      <c r="H44" s="621"/>
      <c r="I44" s="647" t="s">
        <v>204</v>
      </c>
      <c r="J44" s="648"/>
      <c r="K44" s="648"/>
      <c r="L44" s="648"/>
      <c r="M44" s="648"/>
      <c r="N44" s="648"/>
      <c r="O44" s="648"/>
      <c r="P44" s="648"/>
      <c r="Q44" s="648"/>
      <c r="R44" s="648"/>
      <c r="S44" s="648"/>
      <c r="T44" s="648"/>
      <c r="U44" s="648"/>
      <c r="V44" s="648"/>
      <c r="W44" s="648"/>
      <c r="X44" s="648"/>
      <c r="Y44" s="648"/>
      <c r="Z44" s="648"/>
      <c r="AA44" s="648"/>
      <c r="AB44" s="648"/>
      <c r="AC44" s="648"/>
      <c r="AD44" s="648"/>
      <c r="AE44" s="648"/>
      <c r="AF44" s="648"/>
      <c r="AG44" s="648"/>
      <c r="AH44" s="648"/>
      <c r="AI44" s="648"/>
      <c r="AJ44" s="648"/>
      <c r="AK44" s="648"/>
      <c r="AL44" s="648"/>
      <c r="AM44" s="648"/>
      <c r="AN44" s="649"/>
      <c r="AO44" s="440">
        <f>AO35+AO36+AO37+AO38+AO39+AO40+AO41+AO42+AO43</f>
        <v>0</v>
      </c>
      <c r="AP44" s="441"/>
      <c r="AQ44" s="441"/>
      <c r="AR44" s="441"/>
      <c r="AS44" s="441"/>
      <c r="AT44" s="441"/>
      <c r="AU44" s="441"/>
      <c r="AV44" s="441"/>
      <c r="AW44" s="441"/>
      <c r="AX44" s="441"/>
      <c r="AY44" s="441"/>
      <c r="AZ44" s="441"/>
      <c r="BA44" s="442"/>
      <c r="BB44" s="24"/>
      <c r="BC44" s="25"/>
      <c r="BD44" s="488" t="s">
        <v>232</v>
      </c>
      <c r="BE44" s="489"/>
      <c r="BF44" s="489"/>
      <c r="BG44" s="489"/>
      <c r="BH44" s="490"/>
      <c r="BI44" s="475" t="s">
        <v>221</v>
      </c>
      <c r="BJ44" s="476"/>
      <c r="BK44" s="476"/>
      <c r="BL44" s="476"/>
      <c r="BM44" s="476"/>
      <c r="BN44" s="476"/>
      <c r="BO44" s="476"/>
      <c r="BP44" s="476"/>
      <c r="BQ44" s="476"/>
      <c r="BR44" s="476"/>
      <c r="BS44" s="476"/>
      <c r="BT44" s="476"/>
      <c r="BU44" s="476"/>
      <c r="BV44" s="476"/>
      <c r="BW44" s="476"/>
      <c r="BX44" s="476"/>
      <c r="BY44" s="476"/>
      <c r="BZ44" s="476"/>
      <c r="CA44" s="476"/>
      <c r="CB44" s="476"/>
      <c r="CC44" s="477"/>
      <c r="CD44" s="461">
        <f>IF(CD41-CD40&gt;0,CD41-CD40,0)</f>
        <v>0</v>
      </c>
      <c r="CE44" s="462"/>
      <c r="CF44" s="462"/>
      <c r="CG44" s="462"/>
      <c r="CH44" s="462"/>
      <c r="CI44" s="462"/>
      <c r="CJ44" s="462"/>
      <c r="CK44" s="462"/>
      <c r="CL44" s="462"/>
      <c r="CM44" s="462"/>
      <c r="CN44" s="462"/>
      <c r="CO44" s="462"/>
      <c r="CP44" s="462"/>
      <c r="CQ44" s="462"/>
      <c r="CR44" s="462"/>
      <c r="CS44" s="462"/>
      <c r="CT44" s="462"/>
    </row>
    <row r="45" spans="5:99" ht="11.25" customHeight="1">
      <c r="E45" s="622"/>
      <c r="F45" s="623"/>
      <c r="G45" s="623"/>
      <c r="H45" s="624"/>
      <c r="I45" s="598" t="s">
        <v>205</v>
      </c>
      <c r="J45" s="598"/>
      <c r="K45" s="598"/>
      <c r="L45" s="598"/>
      <c r="M45" s="598"/>
      <c r="N45" s="598"/>
      <c r="O45" s="598"/>
      <c r="P45" s="598"/>
      <c r="Q45" s="598"/>
      <c r="R45" s="598"/>
      <c r="S45" s="598"/>
      <c r="T45" s="598"/>
      <c r="U45" s="598"/>
      <c r="V45" s="598"/>
      <c r="W45" s="598"/>
      <c r="X45" s="598"/>
      <c r="Y45" s="598"/>
      <c r="Z45" s="598"/>
      <c r="AA45" s="598"/>
      <c r="AB45" s="598"/>
      <c r="AC45" s="598"/>
      <c r="AD45" s="598"/>
      <c r="AE45" s="598"/>
      <c r="AF45" s="598"/>
      <c r="AG45" s="598"/>
      <c r="AH45" s="598"/>
      <c r="AI45" s="598"/>
      <c r="AJ45" s="598"/>
      <c r="AK45" s="598"/>
      <c r="AL45" s="598"/>
      <c r="AM45" s="598"/>
      <c r="AN45" s="599"/>
      <c r="AO45" s="437"/>
      <c r="AP45" s="438"/>
      <c r="AQ45" s="438"/>
      <c r="AR45" s="438"/>
      <c r="AS45" s="438"/>
      <c r="AT45" s="438"/>
      <c r="AU45" s="438"/>
      <c r="AV45" s="438"/>
      <c r="AW45" s="438"/>
      <c r="AX45" s="438"/>
      <c r="AY45" s="438"/>
      <c r="AZ45" s="438"/>
      <c r="BA45" s="439"/>
      <c r="BB45" s="26"/>
      <c r="BC45" s="27"/>
      <c r="BD45" s="120"/>
      <c r="BE45" s="121"/>
      <c r="BF45" s="121"/>
      <c r="BG45" s="121"/>
      <c r="BH45" s="122"/>
      <c r="BI45" s="478"/>
      <c r="BJ45" s="249"/>
      <c r="BK45" s="249"/>
      <c r="BL45" s="249"/>
      <c r="BM45" s="249"/>
      <c r="BN45" s="249"/>
      <c r="BO45" s="249"/>
      <c r="BP45" s="249"/>
      <c r="BQ45" s="249"/>
      <c r="BR45" s="249"/>
      <c r="BS45" s="249"/>
      <c r="BT45" s="249"/>
      <c r="BU45" s="249"/>
      <c r="BV45" s="249"/>
      <c r="BW45" s="249"/>
      <c r="BX45" s="249"/>
      <c r="BY45" s="249"/>
      <c r="BZ45" s="249"/>
      <c r="CA45" s="249"/>
      <c r="CB45" s="249"/>
      <c r="CC45" s="251"/>
      <c r="CD45" s="461"/>
      <c r="CE45" s="462"/>
      <c r="CF45" s="462"/>
      <c r="CG45" s="462"/>
      <c r="CH45" s="462"/>
      <c r="CI45" s="462"/>
      <c r="CJ45" s="462"/>
      <c r="CK45" s="462"/>
      <c r="CL45" s="462"/>
      <c r="CM45" s="462"/>
      <c r="CN45" s="462"/>
      <c r="CO45" s="462"/>
      <c r="CP45" s="462"/>
      <c r="CQ45" s="462"/>
      <c r="CR45" s="462"/>
      <c r="CS45" s="462"/>
      <c r="CT45" s="462"/>
    </row>
  </sheetData>
  <mergeCells count="243">
    <mergeCell ref="I44:AN44"/>
    <mergeCell ref="E36:H36"/>
    <mergeCell ref="E21:H21"/>
    <mergeCell ref="E22:H22"/>
    <mergeCell ref="E23:H23"/>
    <mergeCell ref="E24:H24"/>
    <mergeCell ref="E25:H25"/>
    <mergeCell ref="E26:H26"/>
    <mergeCell ref="E15:H15"/>
    <mergeCell ref="E16:H16"/>
    <mergeCell ref="E17:H17"/>
    <mergeCell ref="E18:H18"/>
    <mergeCell ref="E19:H19"/>
    <mergeCell ref="E20:H20"/>
    <mergeCell ref="I20:AP20"/>
    <mergeCell ref="I21:AP21"/>
    <mergeCell ref="I22:AP22"/>
    <mergeCell ref="I29:AP29"/>
    <mergeCell ref="I30:AP30"/>
    <mergeCell ref="I15:AP15"/>
    <mergeCell ref="I16:AP16"/>
    <mergeCell ref="I17:AP17"/>
    <mergeCell ref="I18:AP18"/>
    <mergeCell ref="I19:AP19"/>
    <mergeCell ref="E41:H41"/>
    <mergeCell ref="E42:H42"/>
    <mergeCell ref="E27:H27"/>
    <mergeCell ref="E28:H28"/>
    <mergeCell ref="E29:H29"/>
    <mergeCell ref="E30:H30"/>
    <mergeCell ref="E35:H35"/>
    <mergeCell ref="I42:AN42"/>
    <mergeCell ref="I43:AN43"/>
    <mergeCell ref="I27:AP27"/>
    <mergeCell ref="I28:AP28"/>
    <mergeCell ref="I10:AP10"/>
    <mergeCell ref="I11:AP11"/>
    <mergeCell ref="I12:AP12"/>
    <mergeCell ref="I13:AP13"/>
    <mergeCell ref="I14:AP14"/>
    <mergeCell ref="E37:H37"/>
    <mergeCell ref="E38:H38"/>
    <mergeCell ref="E39:H39"/>
    <mergeCell ref="E40:H40"/>
    <mergeCell ref="E12:H12"/>
    <mergeCell ref="E13:H13"/>
    <mergeCell ref="E14:H14"/>
    <mergeCell ref="E11:H11"/>
    <mergeCell ref="I26:AP26"/>
    <mergeCell ref="I45:AN45"/>
    <mergeCell ref="I34:AN34"/>
    <mergeCell ref="I35:AN35"/>
    <mergeCell ref="I36:AN36"/>
    <mergeCell ref="I37:AN37"/>
    <mergeCell ref="I38:AN38"/>
    <mergeCell ref="I39:AN39"/>
    <mergeCell ref="E1:AD2"/>
    <mergeCell ref="E5:AD5"/>
    <mergeCell ref="E6:AD6"/>
    <mergeCell ref="E3:AD4"/>
    <mergeCell ref="E7:H8"/>
    <mergeCell ref="E9:H9"/>
    <mergeCell ref="E10:H10"/>
    <mergeCell ref="I31:AP31"/>
    <mergeCell ref="I32:AP32"/>
    <mergeCell ref="AO33:BA33"/>
    <mergeCell ref="I33:AN33"/>
    <mergeCell ref="AO34:BA34"/>
    <mergeCell ref="E43:H43"/>
    <mergeCell ref="E44:H44"/>
    <mergeCell ref="E45:H45"/>
    <mergeCell ref="E33:H33"/>
    <mergeCell ref="E34:H34"/>
    <mergeCell ref="BU1:CT2"/>
    <mergeCell ref="BU3:CT4"/>
    <mergeCell ref="BU5:CT5"/>
    <mergeCell ref="AF5:BQ6"/>
    <mergeCell ref="AO41:BA41"/>
    <mergeCell ref="AF3:BQ4"/>
    <mergeCell ref="AF1:BQ2"/>
    <mergeCell ref="I7:AP9"/>
    <mergeCell ref="AQ9:BC9"/>
    <mergeCell ref="AO35:BA35"/>
    <mergeCell ref="AO36:BA36"/>
    <mergeCell ref="AO37:BA37"/>
    <mergeCell ref="AO38:BA38"/>
    <mergeCell ref="AO39:BA39"/>
    <mergeCell ref="AO40:BA40"/>
    <mergeCell ref="I40:AN40"/>
    <mergeCell ref="I41:AN41"/>
    <mergeCell ref="I23:AP23"/>
    <mergeCell ref="I24:AP24"/>
    <mergeCell ref="I25:AP25"/>
    <mergeCell ref="AQ7:BC8"/>
    <mergeCell ref="CH10:CT10"/>
    <mergeCell ref="CE10:CG10"/>
    <mergeCell ref="BQ10:CD10"/>
    <mergeCell ref="BD10:BP10"/>
    <mergeCell ref="AQ10:BC10"/>
    <mergeCell ref="CH9:CT9"/>
    <mergeCell ref="CE9:CG9"/>
    <mergeCell ref="BD9:BP9"/>
    <mergeCell ref="BQ9:CD9"/>
    <mergeCell ref="BQ8:CD8"/>
    <mergeCell ref="BQ7:CD7"/>
    <mergeCell ref="BD7:BP8"/>
    <mergeCell ref="CE7:CG8"/>
    <mergeCell ref="CH7:CT8"/>
    <mergeCell ref="AQ11:BC11"/>
    <mergeCell ref="BD11:BP11"/>
    <mergeCell ref="BQ11:CD11"/>
    <mergeCell ref="CE11:CG11"/>
    <mergeCell ref="CH11:CT11"/>
    <mergeCell ref="AQ12:BC12"/>
    <mergeCell ref="BD12:BP12"/>
    <mergeCell ref="BQ12:CD12"/>
    <mergeCell ref="CE12:CG12"/>
    <mergeCell ref="CH12:CT12"/>
    <mergeCell ref="AQ13:BC13"/>
    <mergeCell ref="BD13:BP13"/>
    <mergeCell ref="BQ13:CD13"/>
    <mergeCell ref="CE13:CG13"/>
    <mergeCell ref="CH13:CT13"/>
    <mergeCell ref="AQ14:BC14"/>
    <mergeCell ref="BD14:BP14"/>
    <mergeCell ref="BQ14:CD14"/>
    <mergeCell ref="CE14:CG14"/>
    <mergeCell ref="CH14:CT14"/>
    <mergeCell ref="AQ15:BC15"/>
    <mergeCell ref="BD15:BP15"/>
    <mergeCell ref="BQ15:CD15"/>
    <mergeCell ref="CE15:CG15"/>
    <mergeCell ref="CH15:CT15"/>
    <mergeCell ref="AQ16:BC16"/>
    <mergeCell ref="BD16:BP16"/>
    <mergeCell ref="BQ16:CD16"/>
    <mergeCell ref="CE16:CG16"/>
    <mergeCell ref="CH16:CT16"/>
    <mergeCell ref="AQ17:BC17"/>
    <mergeCell ref="BD17:BP17"/>
    <mergeCell ref="BQ17:CD17"/>
    <mergeCell ref="CE17:CG17"/>
    <mergeCell ref="CH17:CT17"/>
    <mergeCell ref="AQ18:BC18"/>
    <mergeCell ref="BD18:BP18"/>
    <mergeCell ref="BQ18:CD18"/>
    <mergeCell ref="CE18:CG18"/>
    <mergeCell ref="CH18:CT18"/>
    <mergeCell ref="AQ19:BC19"/>
    <mergeCell ref="BD19:BP19"/>
    <mergeCell ref="BQ19:CD19"/>
    <mergeCell ref="CE19:CG19"/>
    <mergeCell ref="CH19:CT19"/>
    <mergeCell ref="AQ20:BC20"/>
    <mergeCell ref="BD20:BP20"/>
    <mergeCell ref="BQ20:CD20"/>
    <mergeCell ref="CE20:CG20"/>
    <mergeCell ref="CH20:CT20"/>
    <mergeCell ref="AQ21:BC21"/>
    <mergeCell ref="BD21:BP21"/>
    <mergeCell ref="BQ21:CD21"/>
    <mergeCell ref="CE21:CG21"/>
    <mergeCell ref="CH21:CT21"/>
    <mergeCell ref="AQ22:BC22"/>
    <mergeCell ref="BD22:BP22"/>
    <mergeCell ref="BQ22:CD22"/>
    <mergeCell ref="CE22:CG22"/>
    <mergeCell ref="CH22:CT22"/>
    <mergeCell ref="AQ23:BC23"/>
    <mergeCell ref="BD23:BP23"/>
    <mergeCell ref="BQ23:CD23"/>
    <mergeCell ref="CE23:CG23"/>
    <mergeCell ref="CH23:CT23"/>
    <mergeCell ref="AQ24:BC24"/>
    <mergeCell ref="BD24:BP24"/>
    <mergeCell ref="BQ24:CD24"/>
    <mergeCell ref="CE24:CG24"/>
    <mergeCell ref="CH24:CT24"/>
    <mergeCell ref="AQ25:BC25"/>
    <mergeCell ref="BD25:BP25"/>
    <mergeCell ref="BQ25:CD25"/>
    <mergeCell ref="CE25:CG25"/>
    <mergeCell ref="CH25:CT25"/>
    <mergeCell ref="AQ26:BC26"/>
    <mergeCell ref="BD26:BP26"/>
    <mergeCell ref="BQ26:CD26"/>
    <mergeCell ref="CE26:CG26"/>
    <mergeCell ref="CH26:CT26"/>
    <mergeCell ref="AQ27:BC27"/>
    <mergeCell ref="BD27:BP27"/>
    <mergeCell ref="BQ27:CD27"/>
    <mergeCell ref="CE27:CG27"/>
    <mergeCell ref="CH27:CT27"/>
    <mergeCell ref="AQ28:BC28"/>
    <mergeCell ref="BD28:BP28"/>
    <mergeCell ref="BQ28:CD28"/>
    <mergeCell ref="CE28:CG28"/>
    <mergeCell ref="CH28:CT28"/>
    <mergeCell ref="AQ29:BC29"/>
    <mergeCell ref="BD29:BP29"/>
    <mergeCell ref="BQ29:CD29"/>
    <mergeCell ref="CE29:CG29"/>
    <mergeCell ref="CH29:CT29"/>
    <mergeCell ref="AQ30:BC30"/>
    <mergeCell ref="BD30:BP30"/>
    <mergeCell ref="BQ30:CD30"/>
    <mergeCell ref="CE30:CG30"/>
    <mergeCell ref="CH30:CT30"/>
    <mergeCell ref="BI39:CC39"/>
    <mergeCell ref="BD35:BH35"/>
    <mergeCell ref="BD36:BH36"/>
    <mergeCell ref="BD37:BH37"/>
    <mergeCell ref="BD38:BH38"/>
    <mergeCell ref="BD39:BH39"/>
    <mergeCell ref="BD40:BH40"/>
    <mergeCell ref="CD35:CT35"/>
    <mergeCell ref="CH31:CT32"/>
    <mergeCell ref="BB33:CB33"/>
    <mergeCell ref="CC33:CT33"/>
    <mergeCell ref="CD42:CT43"/>
    <mergeCell ref="AO44:BA45"/>
    <mergeCell ref="AO42:BA42"/>
    <mergeCell ref="AO43:BA43"/>
    <mergeCell ref="BI34:CC34"/>
    <mergeCell ref="CD40:CT40"/>
    <mergeCell ref="CD36:CT37"/>
    <mergeCell ref="CD38:CT39"/>
    <mergeCell ref="CD41:CT41"/>
    <mergeCell ref="CD44:CT45"/>
    <mergeCell ref="BI40:CC40"/>
    <mergeCell ref="BI41:CC41"/>
    <mergeCell ref="BI42:CC42"/>
    <mergeCell ref="BI43:CC43"/>
    <mergeCell ref="BI44:CC45"/>
    <mergeCell ref="BD41:BH41"/>
    <mergeCell ref="BD42:BH42"/>
    <mergeCell ref="BD43:BH43"/>
    <mergeCell ref="BD44:BH44"/>
    <mergeCell ref="BD45:BH45"/>
    <mergeCell ref="BI35:CC35"/>
    <mergeCell ref="BI36:CC36"/>
    <mergeCell ref="BI37:CC37"/>
    <mergeCell ref="BI38:CC38"/>
  </mergeCells>
  <pageMargins left="1.0416666666666666E-2" right="1.0416666666666666E-2" top="1.0416666666666666E-2" bottom="1.0416666666666666E-2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F0"/>
  </sheetPr>
  <dimension ref="A10:C15"/>
  <sheetViews>
    <sheetView tabSelected="1" view="pageLayout" workbookViewId="0">
      <selection activeCell="B18" sqref="B18"/>
    </sheetView>
  </sheetViews>
  <sheetFormatPr baseColWidth="10" defaultRowHeight="15"/>
  <cols>
    <col min="1" max="1" width="16.7109375" customWidth="1"/>
    <col min="2" max="2" width="16.28515625" customWidth="1"/>
    <col min="3" max="3" width="62.28515625" customWidth="1"/>
  </cols>
  <sheetData>
    <row r="10" spans="1:3">
      <c r="B10" s="660" t="s">
        <v>304</v>
      </c>
      <c r="C10" s="660"/>
    </row>
    <row r="11" spans="1:3">
      <c r="B11" s="660"/>
      <c r="C11" s="660"/>
    </row>
    <row r="13" spans="1:3">
      <c r="A13" t="s">
        <v>310</v>
      </c>
      <c r="B13" t="s">
        <v>301</v>
      </c>
      <c r="C13" s="661" t="s">
        <v>309</v>
      </c>
    </row>
    <row r="14" spans="1:3">
      <c r="A14" t="s">
        <v>306</v>
      </c>
      <c r="B14" t="s">
        <v>302</v>
      </c>
      <c r="C14" s="661" t="s">
        <v>305</v>
      </c>
    </row>
    <row r="15" spans="1:3">
      <c r="A15" t="s">
        <v>308</v>
      </c>
      <c r="B15" t="s">
        <v>303</v>
      </c>
      <c r="C15" s="661" t="s">
        <v>307</v>
      </c>
    </row>
  </sheetData>
  <mergeCells count="1">
    <mergeCell ref="B10:C11"/>
  </mergeCells>
  <hyperlinks>
    <hyperlink ref="C14" r:id="rId1"/>
    <hyperlink ref="C15" r:id="rId2"/>
    <hyperlink ref="C13" r:id="rId3"/>
  </hyperlinks>
  <pageMargins left="0.22916666666666666" right="0.23958333333333334" top="0.75" bottom="0.75" header="0.3" footer="0.3"/>
  <pageSetup paperSize="9" orientation="portrait" horizontalDpi="4294967292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IBS-IRG</vt:lpstr>
      <vt:lpstr>TLS</vt:lpstr>
      <vt:lpstr>TIMBRE</vt:lpstr>
      <vt:lpstr>TVA</vt:lpstr>
      <vt:lpstr>compta-fisco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2025-05-15T17:55:16Z</dcterms:modified>
</cp:coreProperties>
</file>